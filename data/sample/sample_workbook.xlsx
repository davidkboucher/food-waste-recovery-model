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210" yWindow="0" windowWidth="14415" windowHeight="14580" tabRatio="600" firstSheet="0" activeTab="2" autoFilterDateGrouping="1"/>
  </bookViews>
  <sheets>
    <sheet xmlns:r="http://schemas.openxmlformats.org/officeDocument/2006/relationships" name="Discard Log" sheetId="1" state="visible" r:id="rId1"/>
    <sheet xmlns:r="http://schemas.openxmlformats.org/officeDocument/2006/relationships" name="Price Data" sheetId="2" state="visible" r:id="rId2"/>
    <sheet xmlns:r="http://schemas.openxmlformats.org/officeDocument/2006/relationships" name="Menu Anchors" sheetId="3" state="visible" r:id="rId3"/>
    <sheet xmlns:r="http://schemas.openxmlformats.org/officeDocument/2006/relationships" name="Keys" sheetId="4" state="visible" r:id="rId4"/>
    <sheet xmlns:r="http://schemas.openxmlformats.org/officeDocument/2006/relationships" name="Interchangeabl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3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696"/>
        <bgColor indexed="64"/>
      </patternFill>
    </fill>
    <fill>
      <patternFill patternType="solid">
        <fgColor rgb="FFF5CC4F"/>
        <bgColor indexed="64"/>
      </patternFill>
    </fill>
    <fill>
      <patternFill patternType="solid">
        <fgColor rgb="FFF7FFCC"/>
        <bgColor indexed="64"/>
      </patternFill>
    </fill>
    <fill>
      <patternFill patternType="solid">
        <fgColor rgb="FFD1FC7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14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2" fontId="0" fillId="0" borderId="0" applyAlignment="1" pivotButton="0" quotePrefix="0" xfId="0">
      <alignment wrapText="1"/>
    </xf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2" fontId="5" fillId="0" borderId="0" pivotButton="0" quotePrefix="0" xfId="0"/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2" fontId="1" fillId="0" borderId="0" pivotButton="0" quotePrefix="0" xfId="0"/>
    <xf numFmtId="0" fontId="7" fillId="0" borderId="0" applyAlignment="1" pivotButton="0" quotePrefix="0" xfId="0">
      <alignment horizontal="center" wrapText="1"/>
    </xf>
    <xf numFmtId="4" fontId="0" fillId="0" borderId="0" applyAlignment="1" pivotButton="0" quotePrefix="0" xfId="0">
      <alignment horizontal="right" wrapText="1"/>
    </xf>
    <xf numFmtId="4" fontId="0" fillId="0" borderId="0" applyAlignment="1" pivotButton="0" quotePrefix="0" xfId="0">
      <alignment horizontal="right"/>
    </xf>
    <xf numFmtId="4" fontId="4" fillId="0" borderId="0" applyAlignment="1" pivotButton="0" quotePrefix="0" xfId="0">
      <alignment wrapText="1"/>
    </xf>
    <xf numFmtId="0" fontId="8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Heading 4" xfId="1" builtinId="19"/>
  </cellStyles>
  <dxfs count="23">
    <dxf>
      <font>
        <color theme="1"/>
      </font>
      <fill>
        <patternFill patternType="solid">
          <bgColor rgb="FFFA8E9B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color theme="1"/>
      </font>
      <fill>
        <patternFill patternType="solid">
          <bgColor rgb="FFFFFFD1"/>
        </patternFill>
      </fill>
    </dxf>
    <dxf>
      <font>
        <color theme="1"/>
      </font>
      <fill>
        <patternFill patternType="solid">
          <bgColor rgb="FFF5DF7D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CD251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F696"/>
        </patternFill>
      </fill>
    </dxf>
    <dxf>
      <font>
        <color theme="1"/>
      </font>
      <fill>
        <patternFill patternType="solid">
          <bgColor rgb="FFD1FC74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F696"/>
        </patternFill>
      </fill>
    </dxf>
    <dxf>
      <font>
        <color theme="1"/>
      </font>
      <fill>
        <patternFill patternType="solid">
          <bgColor rgb="FFFCD251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F696"/>
        </patternFill>
      </fill>
    </dxf>
    <dxf>
      <font>
        <color theme="1"/>
      </font>
      <fill>
        <patternFill patternType="solid">
          <bgColor rgb="FFFCD251"/>
        </patternFill>
      </fill>
    </dxf>
    <dxf>
      <alignment horizontal="general" vertical="bottom" wrapText="1"/>
    </dxf>
    <dxf>
      <numFmt numFmtId="2" formatCode="0.00"/>
    </dxf>
    <dxf>
      <numFmt numFmtId="2" formatCode="0.00"/>
      <alignment horizontal="general" vertical="bottom" wrapText="1"/>
    </dxf>
    <dxf>
      <numFmt numFmtId="19" formatCode="m/d/yyyy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G822" headerRowCount="1" totalsRowShown="0" headerRowDxfId="22">
  <autoFilter ref="A1:G822"/>
  <tableColumns count="7">
    <tableColumn id="1" name="Date" dataDxfId="21"/>
    <tableColumn id="2" name="Food Item"/>
    <tableColumn id="3" name="Quantity (Units)"/>
    <tableColumn id="4" name="Discard Reason"/>
    <tableColumn id="5" name="Donatable?"/>
    <tableColumn id="6" name="Conditions (if any)"/>
    <tableColumn id="7" name="POTENTIAL REVENUE LOST" dataDxfId="20">
      <calculatedColumnFormula>IFERROR(VLOOKUP(B2, 'Price Data'!A:D, 3, FALSE) * VLOOKUP(B2, 'Price Data'!A:D, 4, FALSE) * C2,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43" headerRowCount="1" totalsRowShown="0">
  <autoFilter ref="A1:H143"/>
  <sortState ref="A2:G143">
    <sortCondition ref="A1:A143"/>
  </sortState>
  <tableColumns count="8">
    <tableColumn id="1" name="Food Item"/>
    <tableColumn id="2" name="Unit Weight (grams)"/>
    <tableColumn id="3" name="Servings per Unit"/>
    <tableColumn id="4" name="Potential Revenue per Serving ($)" dataDxfId="19"/>
    <tableColumn id="5" name="Price Confidence"/>
    <tableColumn id="6" name="Operational Role"/>
    <tableColumn id="7" name="Dishes" dataDxfId="18"/>
    <tableColumn id="8" name="Food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G829"/>
  <sheetViews>
    <sheetView topLeftCell="B169" zoomScaleNormal="100" zoomScaleSheetLayoutView="100" workbookViewId="0">
      <selection activeCell="B182" sqref="B182"/>
    </sheetView>
  </sheetViews>
  <sheetFormatPr baseColWidth="8" defaultRowHeight="15"/>
  <cols>
    <col width="10.140625" bestFit="1" customWidth="1" min="1" max="1"/>
    <col width="28" bestFit="1" customWidth="1" min="2" max="2"/>
    <col width="17.42578125" bestFit="1" customWidth="1" min="3" max="3"/>
    <col width="21.85546875" customWidth="1" min="4" max="4"/>
    <col width="28.7109375" bestFit="1" customWidth="1" min="5" max="5"/>
    <col width="20.42578125" customWidth="1" min="6" max="6"/>
    <col width="26.85546875" customWidth="1" style="14" min="7" max="7"/>
  </cols>
  <sheetData>
    <row r="1">
      <c r="A1" s="16" t="inlineStr">
        <is>
          <t>Date</t>
        </is>
      </c>
      <c r="B1" s="16" t="inlineStr">
        <is>
          <t>Food Item</t>
        </is>
      </c>
      <c r="C1" s="16" t="inlineStr">
        <is>
          <t>Quantity (Units)</t>
        </is>
      </c>
      <c r="D1" s="16" t="inlineStr">
        <is>
          <t>Discard Reason</t>
        </is>
      </c>
      <c r="E1" s="16" t="inlineStr">
        <is>
          <t>Donatable?</t>
        </is>
      </c>
      <c r="F1" s="16" t="inlineStr">
        <is>
          <t>Conditions (if any)</t>
        </is>
      </c>
      <c r="G1" s="19" t="inlineStr">
        <is>
          <t>POTENTIAL REVENUE LOST</t>
        </is>
      </c>
    </row>
    <row r="2">
      <c r="A2" s="1" t="n">
        <v>45719</v>
      </c>
      <c r="B2" t="inlineStr">
        <is>
          <t>ING-061</t>
        </is>
      </c>
      <c r="C2" t="n">
        <v>1</v>
      </c>
      <c r="D2" s="1" t="inlineStr">
        <is>
          <t>Hot Hold</t>
        </is>
      </c>
      <c r="E2" t="inlineStr">
        <is>
          <t>Maybe</t>
        </is>
      </c>
      <c r="F2" t="inlineStr">
        <is>
          <t>Temp. logs req.</t>
        </is>
      </c>
      <c r="G2" s="13">
        <f>IFERROR(VLOOKUP(B2, 'Price Data'!A:D, 3, FALSE) * VLOOKUP(B2, 'Price Data'!A:D, 4, FALSE) * C2, "")</f>
        <v/>
      </c>
    </row>
    <row r="3">
      <c r="A3" s="1" t="n">
        <v>45719</v>
      </c>
      <c r="B3" t="inlineStr">
        <is>
          <t>ING-028</t>
        </is>
      </c>
      <c r="C3" t="n">
        <v>4</v>
      </c>
      <c r="D3" t="inlineStr">
        <is>
          <t>Hot Hold</t>
        </is>
      </c>
      <c r="E3" t="inlineStr">
        <is>
          <t>No</t>
        </is>
      </c>
      <c r="F3" t="inlineStr">
        <is>
          <t>No Date | Temp. logs req.</t>
        </is>
      </c>
      <c r="G3" s="13">
        <f>IFERROR(VLOOKUP(B3, 'Price Data'!A:D, 3, FALSE) * VLOOKUP(B3, 'Price Data'!A:D, 4, FALSE) * C3, "")</f>
        <v/>
      </c>
    </row>
    <row r="4">
      <c r="A4" s="1" t="n">
        <v>45719</v>
      </c>
      <c r="B4" t="inlineStr">
        <is>
          <t>ING-157</t>
        </is>
      </c>
      <c r="C4" t="n">
        <v>9.5</v>
      </c>
      <c r="D4" t="inlineStr">
        <is>
          <t>Hot Hold</t>
        </is>
      </c>
      <c r="E4" t="inlineStr">
        <is>
          <t>Maybe</t>
        </is>
      </c>
      <c r="F4" t="inlineStr">
        <is>
          <t>Temp. logs req.</t>
        </is>
      </c>
      <c r="G4" s="13">
        <f>IFERROR(VLOOKUP(B4, 'Price Data'!A:D, 3, FALSE) * VLOOKUP(B4, 'Price Data'!A:D, 4, FALSE) * C4, "")</f>
        <v/>
      </c>
    </row>
    <row r="5">
      <c r="A5" s="1" t="n">
        <v>45719</v>
      </c>
      <c r="B5" t="inlineStr">
        <is>
          <t>ING-185</t>
        </is>
      </c>
      <c r="C5" t="n">
        <v>0.5</v>
      </c>
      <c r="D5" t="inlineStr">
        <is>
          <t>Expiring</t>
        </is>
      </c>
      <c r="E5" t="inlineStr">
        <is>
          <t>Maybe</t>
        </is>
      </c>
      <c r="F5" s="2" t="inlineStr">
        <is>
          <t>No tamper-proof seal, Freeze (req)</t>
        </is>
      </c>
      <c r="G5" s="13">
        <f>IFERROR(VLOOKUP(B5, 'Price Data'!A:D, 3, FALSE) * VLOOKUP(B5, 'Price Data'!A:D, 4, FALSE) * C5, "")</f>
        <v/>
      </c>
    </row>
    <row r="6">
      <c r="A6" s="1" t="n">
        <v>45719</v>
      </c>
      <c r="B6" t="inlineStr">
        <is>
          <t>ING-072</t>
        </is>
      </c>
      <c r="C6" t="n">
        <v>1</v>
      </c>
      <c r="D6" t="inlineStr">
        <is>
          <t>Hot Hold</t>
        </is>
      </c>
      <c r="E6" t="inlineStr">
        <is>
          <t>Maybe</t>
        </is>
      </c>
      <c r="F6" t="inlineStr">
        <is>
          <t>Temp. logs req.</t>
        </is>
      </c>
      <c r="G6" s="13">
        <f>IFERROR(VLOOKUP(B6, 'Price Data'!A:D, 3, FALSE) * VLOOKUP(B6, 'Price Data'!A:D, 4, FALSE) * C6, "")</f>
        <v/>
      </c>
    </row>
    <row r="7">
      <c r="A7" s="1" t="n">
        <v>45719</v>
      </c>
      <c r="B7" t="inlineStr">
        <is>
          <t>ING-049</t>
        </is>
      </c>
      <c r="C7" t="n">
        <v>2.5</v>
      </c>
      <c r="D7" t="inlineStr">
        <is>
          <t>Hot Hold</t>
        </is>
      </c>
      <c r="E7" t="inlineStr">
        <is>
          <t>No</t>
        </is>
      </c>
      <c r="F7" t="inlineStr">
        <is>
          <t>Minimal Utility</t>
        </is>
      </c>
      <c r="G7" s="13">
        <f>IFERROR(VLOOKUP(B7, 'Price Data'!A:D, 3, FALSE) * VLOOKUP(B7, 'Price Data'!A:D, 4, FALSE) * C7, "")</f>
        <v/>
      </c>
    </row>
    <row r="8">
      <c r="A8" s="1" t="n">
        <v>45719</v>
      </c>
      <c r="B8" t="inlineStr">
        <is>
          <t>ING-129</t>
        </is>
      </c>
      <c r="C8" t="n">
        <v>1.5</v>
      </c>
      <c r="D8" t="inlineStr">
        <is>
          <t>Hot Hold</t>
        </is>
      </c>
      <c r="E8" t="inlineStr">
        <is>
          <t>Maybe</t>
        </is>
      </c>
      <c r="F8" t="inlineStr">
        <is>
          <t>Temp. logs req.</t>
        </is>
      </c>
      <c r="G8" s="13">
        <f>IFERROR(VLOOKUP(B8, 'Price Data'!A:D, 3, FALSE) * VLOOKUP(B8, 'Price Data'!A:D, 4, FALSE) * C8, "")</f>
        <v/>
      </c>
    </row>
    <row r="9">
      <c r="A9" s="1" t="n">
        <v>45719</v>
      </c>
      <c r="B9" t="inlineStr">
        <is>
          <t>ING-034</t>
        </is>
      </c>
      <c r="C9" t="n">
        <v>2.5</v>
      </c>
      <c r="D9" t="inlineStr">
        <is>
          <t>Expiring</t>
        </is>
      </c>
      <c r="E9" t="inlineStr">
        <is>
          <t>Yes</t>
        </is>
      </c>
      <c r="F9" t="inlineStr">
        <is>
          <t>As is</t>
        </is>
      </c>
      <c r="G9" s="13">
        <f>IFERROR(VLOOKUP(B9, 'Price Data'!A:D, 3, FALSE) * VLOOKUP(B9, 'Price Data'!A:D, 4, FALSE) * C9, "")</f>
        <v/>
      </c>
    </row>
    <row r="10">
      <c r="A10" s="1" t="n">
        <v>45719</v>
      </c>
      <c r="B10" t="inlineStr">
        <is>
          <t>ING-105</t>
        </is>
      </c>
      <c r="C10" t="n">
        <v>2</v>
      </c>
      <c r="D10" t="inlineStr">
        <is>
          <t>Hot Hold</t>
        </is>
      </c>
      <c r="E10" t="inlineStr">
        <is>
          <t>Weak Maybe</t>
        </is>
      </c>
      <c r="F10" t="inlineStr">
        <is>
          <t>Temp. logs req. | Minimal Utility</t>
        </is>
      </c>
      <c r="G10" s="13">
        <f>IFERROR(VLOOKUP(B10, 'Price Data'!A:D, 3, FALSE) * VLOOKUP(B10, 'Price Data'!A:D, 4, FALSE) * C10, "")</f>
        <v/>
      </c>
    </row>
    <row r="11">
      <c r="A11" s="1" t="n">
        <v>45719</v>
      </c>
      <c r="B11" t="inlineStr">
        <is>
          <t>ING-172</t>
        </is>
      </c>
      <c r="C11" t="n">
        <v>3.5</v>
      </c>
      <c r="D11" t="inlineStr">
        <is>
          <t>Expiring</t>
        </is>
      </c>
      <c r="E11" t="inlineStr">
        <is>
          <t>Yes</t>
        </is>
      </c>
      <c r="F11" t="inlineStr">
        <is>
          <t>Freeze (rec)</t>
        </is>
      </c>
      <c r="G11" s="13">
        <f>IFERROR(VLOOKUP(B11, 'Price Data'!A:D, 3, FALSE) * VLOOKUP(B11, 'Price Data'!A:D, 4, FALSE) * C11, "")</f>
        <v/>
      </c>
    </row>
    <row r="12">
      <c r="A12" s="1" t="n">
        <v>45719</v>
      </c>
      <c r="B12" t="inlineStr">
        <is>
          <t>ING-021</t>
        </is>
      </c>
      <c r="C12" t="n">
        <v>3.5</v>
      </c>
      <c r="D12" t="inlineStr">
        <is>
          <t>Hot Hold</t>
        </is>
      </c>
      <c r="E12" t="inlineStr">
        <is>
          <t>Maybe</t>
        </is>
      </c>
      <c r="F12" t="inlineStr">
        <is>
          <t>Temp. logs req.</t>
        </is>
      </c>
      <c r="G12" s="13">
        <f>IFERROR(VLOOKUP(B12, 'Price Data'!A:D, 3, FALSE) * VLOOKUP(B12, 'Price Data'!A:D, 4, FALSE) * C12, "")</f>
        <v/>
      </c>
    </row>
    <row r="13">
      <c r="A13" s="1" t="n">
        <v>45719</v>
      </c>
      <c r="B13" t="inlineStr">
        <is>
          <t>ING-148</t>
        </is>
      </c>
      <c r="C13" t="n">
        <v>1</v>
      </c>
      <c r="D13" t="inlineStr">
        <is>
          <t>Hot Hold</t>
        </is>
      </c>
      <c r="E13" t="inlineStr">
        <is>
          <t>Maybe</t>
        </is>
      </c>
      <c r="F13" t="inlineStr">
        <is>
          <t>Temp. logs req.</t>
        </is>
      </c>
      <c r="G13" s="13">
        <f>IFERROR(VLOOKUP(B13, 'Price Data'!A:D, 3, FALSE) * VLOOKUP(B13, 'Price Data'!A:D, 4, FALSE) * C13, "")</f>
        <v/>
      </c>
    </row>
    <row r="14">
      <c r="A14" s="1" t="n">
        <v>45719</v>
      </c>
      <c r="B14" t="inlineStr">
        <is>
          <t>ING-034</t>
        </is>
      </c>
      <c r="C14" t="n">
        <v>3</v>
      </c>
      <c r="D14" t="inlineStr">
        <is>
          <t>Expiring</t>
        </is>
      </c>
      <c r="E14" t="inlineStr">
        <is>
          <t>Yes</t>
        </is>
      </c>
      <c r="F14" t="inlineStr">
        <is>
          <t>As is</t>
        </is>
      </c>
      <c r="G14" s="13">
        <f>IFERROR(VLOOKUP(B14, 'Price Data'!A:D, 3, FALSE) * VLOOKUP(B14, 'Price Data'!A:D, 4, FALSE) * C14, "")</f>
        <v/>
      </c>
    </row>
    <row r="15">
      <c r="A15" s="1" t="n">
        <v>45719</v>
      </c>
      <c r="B15" t="inlineStr">
        <is>
          <t>ING-129</t>
        </is>
      </c>
      <c r="C15" t="n">
        <v>0.5</v>
      </c>
      <c r="D15" t="inlineStr">
        <is>
          <t>Hot Hold</t>
        </is>
      </c>
      <c r="E15" t="inlineStr">
        <is>
          <t>Maybe</t>
        </is>
      </c>
      <c r="F15" t="inlineStr">
        <is>
          <t>Temp. logs req.</t>
        </is>
      </c>
      <c r="G15" s="13">
        <f>IFERROR(VLOOKUP(B15, 'Price Data'!A:D, 3, FALSE) * VLOOKUP(B15, 'Price Data'!A:D, 4, FALSE) * C15, "")</f>
        <v/>
      </c>
    </row>
    <row r="16">
      <c r="A16" s="1" t="n">
        <v>45719</v>
      </c>
      <c r="B16" t="inlineStr">
        <is>
          <t>ING-163</t>
        </is>
      </c>
      <c r="C16" t="n">
        <v>2.5</v>
      </c>
      <c r="D16" t="inlineStr">
        <is>
          <t>Hot Hold</t>
        </is>
      </c>
      <c r="E16" t="inlineStr">
        <is>
          <t>Weak Maybe</t>
        </is>
      </c>
      <c r="F16" t="inlineStr">
        <is>
          <t>Temp. logs req.</t>
        </is>
      </c>
      <c r="G16" s="13">
        <f>IFERROR(VLOOKUP(B16, 'Price Data'!A:D, 3, FALSE) * VLOOKUP(B16, 'Price Data'!A:D, 4, FALSE) * C16, "")</f>
        <v/>
      </c>
    </row>
    <row r="17">
      <c r="A17" s="1" t="n">
        <v>45719</v>
      </c>
      <c r="B17" t="inlineStr">
        <is>
          <t>ING-061</t>
        </is>
      </c>
      <c r="C17" t="n">
        <v>1.5</v>
      </c>
      <c r="D17" t="inlineStr">
        <is>
          <t>Hot Hold</t>
        </is>
      </c>
      <c r="E17" t="inlineStr">
        <is>
          <t>Maybe</t>
        </is>
      </c>
      <c r="F17" t="inlineStr">
        <is>
          <t>Temp. logs req.</t>
        </is>
      </c>
      <c r="G17" s="13">
        <f>IFERROR(VLOOKUP(B17, 'Price Data'!A:D, 3, FALSE) * VLOOKUP(B17, 'Price Data'!A:D, 4, FALSE) * C17, "")</f>
        <v/>
      </c>
    </row>
    <row r="18">
      <c r="A18" s="1" t="n">
        <v>45719</v>
      </c>
      <c r="B18" t="inlineStr">
        <is>
          <t>ING-145</t>
        </is>
      </c>
      <c r="C18" t="n">
        <v>6</v>
      </c>
      <c r="D18" t="inlineStr">
        <is>
          <t>Expiring</t>
        </is>
      </c>
      <c r="E18" t="inlineStr">
        <is>
          <t>Yes</t>
        </is>
      </c>
      <c r="F18" t="inlineStr">
        <is>
          <t>Freeze (req)</t>
        </is>
      </c>
      <c r="G18" s="13">
        <f>IFERROR(VLOOKUP(B18, 'Price Data'!A:D, 3, FALSE) * VLOOKUP(B18, 'Price Data'!A:D, 4, FALSE) * C18, "")</f>
        <v/>
      </c>
    </row>
    <row r="19">
      <c r="A19" s="1" t="n">
        <v>45719</v>
      </c>
      <c r="B19" t="inlineStr">
        <is>
          <t>ING-016</t>
        </is>
      </c>
      <c r="C19" t="n">
        <v>2</v>
      </c>
      <c r="D19" t="inlineStr">
        <is>
          <t>Expiring</t>
        </is>
      </c>
      <c r="E19" t="inlineStr">
        <is>
          <t>Strong Maybe</t>
        </is>
      </c>
      <c r="F19" s="2" t="inlineStr">
        <is>
          <t>Freeze (req) | Seafood</t>
        </is>
      </c>
      <c r="G19" s="13">
        <f>IFERROR(VLOOKUP(B19, 'Price Data'!A:D, 3, FALSE) * VLOOKUP(B19, 'Price Data'!A:D, 4, FALSE) * C19, "")</f>
        <v/>
      </c>
    </row>
    <row r="20">
      <c r="A20" s="1" t="n">
        <v>45719</v>
      </c>
      <c r="B20" t="inlineStr">
        <is>
          <t>ING-100</t>
        </is>
      </c>
      <c r="C20" t="n">
        <v>1</v>
      </c>
      <c r="D20" t="inlineStr">
        <is>
          <t>Expiring</t>
        </is>
      </c>
      <c r="E20" t="inlineStr">
        <is>
          <t>Yes</t>
        </is>
      </c>
      <c r="F20" s="2" t="inlineStr">
        <is>
          <t>As is</t>
        </is>
      </c>
      <c r="G20" s="13">
        <f>IFERROR(VLOOKUP(B20, 'Price Data'!A:D, 3, FALSE) * VLOOKUP(B20, 'Price Data'!A:D, 4, FALSE) * C20, "")</f>
        <v/>
      </c>
    </row>
    <row r="21">
      <c r="A21" s="1" t="n">
        <v>45719</v>
      </c>
      <c r="B21" t="inlineStr">
        <is>
          <t>ING-109</t>
        </is>
      </c>
      <c r="C21" t="n">
        <v>0.5</v>
      </c>
      <c r="D21" t="inlineStr">
        <is>
          <t>Expiring</t>
        </is>
      </c>
      <c r="E21" t="inlineStr">
        <is>
          <t>Maybe</t>
        </is>
      </c>
      <c r="F21" s="2" t="inlineStr">
        <is>
          <t>Freeze (req), No tamper-proof seal</t>
        </is>
      </c>
      <c r="G21" s="13">
        <f>IFERROR(VLOOKUP(B21, 'Price Data'!A:D, 3, FALSE) * VLOOKUP(B21, 'Price Data'!A:D, 4, FALSE) * C21, "")</f>
        <v/>
      </c>
    </row>
    <row r="22">
      <c r="A22" s="1" t="n">
        <v>45719</v>
      </c>
      <c r="B22" t="inlineStr">
        <is>
          <t>ING-177</t>
        </is>
      </c>
      <c r="C22" t="n">
        <v>2.5</v>
      </c>
      <c r="D22" t="inlineStr">
        <is>
          <t>Expiring</t>
        </is>
      </c>
      <c r="E22" t="inlineStr">
        <is>
          <t>Strong Maybe</t>
        </is>
      </c>
      <c r="F22" t="inlineStr">
        <is>
          <t>Freeze (rec)</t>
        </is>
      </c>
      <c r="G22" s="13">
        <f>IFERROR(VLOOKUP(B22, 'Price Data'!A:D, 3, FALSE) * VLOOKUP(B22, 'Price Data'!A:D, 4, FALSE) * C22, "")</f>
        <v/>
      </c>
    </row>
    <row r="23">
      <c r="A23" s="1" t="n">
        <v>45719</v>
      </c>
      <c r="B23" t="inlineStr">
        <is>
          <t>ING-039</t>
        </is>
      </c>
      <c r="C23" t="n">
        <v>0.5</v>
      </c>
      <c r="D23" t="inlineStr">
        <is>
          <t>Expiring</t>
        </is>
      </c>
      <c r="E23" t="inlineStr">
        <is>
          <t>No</t>
        </is>
      </c>
      <c r="F23" t="inlineStr">
        <is>
          <t>No tamper-proof seal</t>
        </is>
      </c>
      <c r="G23" s="13">
        <f>IFERROR(VLOOKUP(B23, 'Price Data'!A:D, 3, FALSE) * VLOOKUP(B23, 'Price Data'!A:D, 4, FALSE) * C23, "")</f>
        <v/>
      </c>
    </row>
    <row r="24">
      <c r="A24" s="1" t="n">
        <v>45719</v>
      </c>
      <c r="B24" t="inlineStr">
        <is>
          <t>ING-076</t>
        </is>
      </c>
      <c r="C24" t="n">
        <v>1</v>
      </c>
      <c r="D24" t="inlineStr">
        <is>
          <t>Hot Hold</t>
        </is>
      </c>
      <c r="E24" t="inlineStr">
        <is>
          <t>Weak Maybe</t>
        </is>
      </c>
      <c r="F24" t="inlineStr">
        <is>
          <t>Temp. logs req.</t>
        </is>
      </c>
      <c r="G24" s="13">
        <f>IFERROR(VLOOKUP(B24, 'Price Data'!A:D, 3, FALSE) * VLOOKUP(B24, 'Price Data'!A:D, 4, FALSE) * C24, "")</f>
        <v/>
      </c>
    </row>
    <row r="25">
      <c r="A25" s="1" t="n">
        <v>45720</v>
      </c>
      <c r="B25" t="inlineStr">
        <is>
          <t>ING-163</t>
        </is>
      </c>
      <c r="C25" t="n">
        <v>1</v>
      </c>
      <c r="D25" t="inlineStr">
        <is>
          <t>Hot Hold</t>
        </is>
      </c>
      <c r="E25" t="inlineStr">
        <is>
          <t>Weak Maybe</t>
        </is>
      </c>
      <c r="F25" t="inlineStr">
        <is>
          <t>Temp. logs req.</t>
        </is>
      </c>
      <c r="G25" s="13">
        <f>IFERROR(VLOOKUP(B25, 'Price Data'!A:D, 3, FALSE) * VLOOKUP(B25, 'Price Data'!A:D, 4, FALSE) * C25, "")</f>
        <v/>
      </c>
    </row>
    <row r="26">
      <c r="A26" s="1" t="n">
        <v>45720</v>
      </c>
      <c r="B26" t="inlineStr">
        <is>
          <t>ING-076</t>
        </is>
      </c>
      <c r="C26" t="n">
        <v>1.5</v>
      </c>
      <c r="D26" t="inlineStr">
        <is>
          <t>Hot Hold</t>
        </is>
      </c>
      <c r="E26" t="inlineStr">
        <is>
          <t>Weak Maybe</t>
        </is>
      </c>
      <c r="F26" t="inlineStr">
        <is>
          <t>Temp. logs req.</t>
        </is>
      </c>
      <c r="G26" s="13">
        <f>IFERROR(VLOOKUP(B26, 'Price Data'!A:D, 3, FALSE) * VLOOKUP(B26, 'Price Data'!A:D, 4, FALSE) * C26, "")</f>
        <v/>
      </c>
    </row>
    <row r="27">
      <c r="A27" s="1" t="n">
        <v>45720</v>
      </c>
      <c r="B27" t="inlineStr">
        <is>
          <t>ING-157</t>
        </is>
      </c>
      <c r="C27" s="14" t="n">
        <v>7.5</v>
      </c>
      <c r="D27" t="inlineStr">
        <is>
          <t>Expiring</t>
        </is>
      </c>
      <c r="E27" t="inlineStr">
        <is>
          <t>Maybe</t>
        </is>
      </c>
      <c r="F27" t="inlineStr">
        <is>
          <t>Temp. logs req.</t>
        </is>
      </c>
      <c r="G27" s="13">
        <f>IFERROR(VLOOKUP(B27, 'Price Data'!A:D, 3, FALSE) * VLOOKUP(B27, 'Price Data'!A:D, 4, FALSE) * C27, "")</f>
        <v/>
      </c>
    </row>
    <row r="28">
      <c r="A28" s="1" t="n">
        <v>45720</v>
      </c>
      <c r="B28" t="inlineStr">
        <is>
          <t>ING-063</t>
        </is>
      </c>
      <c r="C28" t="n">
        <v>1</v>
      </c>
      <c r="D28" t="inlineStr">
        <is>
          <t>Expiring</t>
        </is>
      </c>
      <c r="E28" t="inlineStr">
        <is>
          <t>Maybe</t>
        </is>
      </c>
      <c r="F28" t="inlineStr">
        <is>
          <t>Cut produce</t>
        </is>
      </c>
      <c r="G28" s="13">
        <f>IFERROR(VLOOKUP(B28, 'Price Data'!A:D, 3, FALSE) * VLOOKUP(B28, 'Price Data'!A:D, 4, FALSE) * C28, "")</f>
        <v/>
      </c>
    </row>
    <row r="29">
      <c r="A29" s="1" t="n">
        <v>45720</v>
      </c>
      <c r="B29" t="inlineStr">
        <is>
          <t>ING-072</t>
        </is>
      </c>
      <c r="C29" s="2" t="n">
        <v>1</v>
      </c>
      <c r="D29" t="inlineStr">
        <is>
          <t>Hot Hold</t>
        </is>
      </c>
      <c r="E29" t="inlineStr">
        <is>
          <t>Yes</t>
        </is>
      </c>
      <c r="F29" s="2" t="inlineStr">
        <is>
          <t>Freeze (rec)</t>
        </is>
      </c>
      <c r="G29" s="13">
        <f>IFERROR(VLOOKUP(B29, 'Price Data'!A:D, 3, FALSE) * VLOOKUP(B29, 'Price Data'!A:D, 4, FALSE) * C29, "")</f>
        <v/>
      </c>
    </row>
    <row r="30">
      <c r="A30" s="1" t="n">
        <v>45720</v>
      </c>
      <c r="B30" t="inlineStr">
        <is>
          <t>ING-031</t>
        </is>
      </c>
      <c r="C30" t="n">
        <v>0.5</v>
      </c>
      <c r="D30" t="inlineStr">
        <is>
          <t>Expiring</t>
        </is>
      </c>
      <c r="E30" t="inlineStr">
        <is>
          <t>Weak Maybe</t>
        </is>
      </c>
      <c r="F30" t="inlineStr">
        <is>
          <t>No tamper-proof seal</t>
        </is>
      </c>
      <c r="G30" s="13">
        <f>IFERROR(VLOOKUP(B30, 'Price Data'!A:D, 3, FALSE) * VLOOKUP(B30, 'Price Data'!A:D, 4, FALSE) * C30, "")</f>
        <v/>
      </c>
    </row>
    <row r="31">
      <c r="A31" s="1" t="n">
        <v>45720</v>
      </c>
      <c r="B31" t="inlineStr">
        <is>
          <t>ING-126</t>
        </is>
      </c>
      <c r="C31" t="n">
        <v>3.5</v>
      </c>
      <c r="D31" t="inlineStr">
        <is>
          <t>Expiring</t>
        </is>
      </c>
      <c r="E31" t="inlineStr">
        <is>
          <t>Strong Maybe</t>
        </is>
      </c>
      <c r="F31" t="inlineStr">
        <is>
          <t>Freeze (req) | Seafood</t>
        </is>
      </c>
      <c r="G31" s="13">
        <f>IFERROR(VLOOKUP(B31, 'Price Data'!A:D, 3, FALSE) * VLOOKUP(B31, 'Price Data'!A:D, 4, FALSE) * C31, "")</f>
        <v/>
      </c>
    </row>
    <row r="32">
      <c r="A32" s="1" t="n">
        <v>45720</v>
      </c>
      <c r="B32" t="inlineStr">
        <is>
          <t>ING-109</t>
        </is>
      </c>
      <c r="C32" t="n">
        <v>0.5</v>
      </c>
      <c r="D32" t="inlineStr">
        <is>
          <t>Expiring</t>
        </is>
      </c>
      <c r="E32" t="inlineStr">
        <is>
          <t>Maybe</t>
        </is>
      </c>
      <c r="F32" t="inlineStr">
        <is>
          <t>Freeze (req), No tamper-proof seal</t>
        </is>
      </c>
      <c r="G32" s="13">
        <f>IFERROR(VLOOKUP(B32, 'Price Data'!A:D, 3, FALSE) * VLOOKUP(B32, 'Price Data'!A:D, 4, FALSE) * C32, "")</f>
        <v/>
      </c>
    </row>
    <row r="33">
      <c r="A33" s="1" t="n">
        <v>45720</v>
      </c>
      <c r="B33" t="inlineStr">
        <is>
          <t>ING-090</t>
        </is>
      </c>
      <c r="C33" t="n">
        <v>6.5</v>
      </c>
      <c r="D33" t="inlineStr">
        <is>
          <t>Expiring</t>
        </is>
      </c>
      <c r="E33" t="inlineStr">
        <is>
          <t>Strong Maybe</t>
        </is>
      </c>
      <c r="F33" t="inlineStr">
        <is>
          <t xml:space="preserve">Freeze (rec) </t>
        </is>
      </c>
      <c r="G33" s="13">
        <f>IFERROR(VLOOKUP(B33, 'Price Data'!A:D, 3, FALSE) * VLOOKUP(B33, 'Price Data'!A:D, 4, FALSE) * C33, "")</f>
        <v/>
      </c>
    </row>
    <row r="34">
      <c r="A34" s="1" t="n">
        <v>45720</v>
      </c>
      <c r="B34" t="inlineStr">
        <is>
          <t>ING-045</t>
        </is>
      </c>
      <c r="C34" t="n">
        <v>2</v>
      </c>
      <c r="D34" t="inlineStr">
        <is>
          <t>Expiring</t>
        </is>
      </c>
      <c r="E34" t="inlineStr">
        <is>
          <t>Strong Maybe</t>
        </is>
      </c>
      <c r="F34" t="inlineStr">
        <is>
          <t>Cut produce | As is</t>
        </is>
      </c>
      <c r="G34" s="13">
        <f>IFERROR(VLOOKUP(B34, 'Price Data'!A:D, 3, FALSE) * VLOOKUP(B34, 'Price Data'!A:D, 4, FALSE) * C34, "")</f>
        <v/>
      </c>
    </row>
    <row r="35">
      <c r="A35" s="1" t="n">
        <v>45720</v>
      </c>
      <c r="B35" t="inlineStr">
        <is>
          <t>ING-169</t>
        </is>
      </c>
      <c r="C35" t="n">
        <v>1</v>
      </c>
      <c r="D35" t="inlineStr">
        <is>
          <t>Expiring</t>
        </is>
      </c>
      <c r="E35" t="inlineStr">
        <is>
          <t>Maybe</t>
        </is>
      </c>
      <c r="F35" t="inlineStr">
        <is>
          <t>As is | Minimal Utility</t>
        </is>
      </c>
      <c r="G35" s="13">
        <f>IFERROR(VLOOKUP(B35, 'Price Data'!A:D, 3, FALSE) * VLOOKUP(B35, 'Price Data'!A:D, 4, FALSE) * C35, "")</f>
        <v/>
      </c>
    </row>
    <row r="36">
      <c r="A36" s="1" t="n">
        <v>45720</v>
      </c>
      <c r="B36" t="inlineStr">
        <is>
          <t>ING-090</t>
        </is>
      </c>
      <c r="C36" t="n">
        <v>2</v>
      </c>
      <c r="D36" t="inlineStr">
        <is>
          <t>Expiring</t>
        </is>
      </c>
      <c r="E36" t="inlineStr">
        <is>
          <t>Strong Maybe</t>
        </is>
      </c>
      <c r="F36" t="inlineStr">
        <is>
          <t xml:space="preserve">Freeze (rec) </t>
        </is>
      </c>
      <c r="G36" s="13">
        <f>IFERROR(VLOOKUP(B36, 'Price Data'!A:D, 3, FALSE) * VLOOKUP(B36, 'Price Data'!A:D, 4, FALSE) * C36, "")</f>
        <v/>
      </c>
    </row>
    <row r="37">
      <c r="A37" s="1" t="n">
        <v>45720</v>
      </c>
      <c r="B37" t="inlineStr">
        <is>
          <t>ING-087</t>
        </is>
      </c>
      <c r="C37" t="n">
        <v>0.5</v>
      </c>
      <c r="D37" t="inlineStr">
        <is>
          <t>Expiring</t>
        </is>
      </c>
      <c r="E37" t="inlineStr">
        <is>
          <t>No</t>
        </is>
      </c>
      <c r="F37" s="2" t="inlineStr">
        <is>
          <t>No tamper-proof seal</t>
        </is>
      </c>
      <c r="G37" s="13">
        <f>IFERROR(VLOOKUP(B37, 'Price Data'!A:D, 3, FALSE) * VLOOKUP(B37, 'Price Data'!A:D, 4, FALSE) * C37, "")</f>
        <v/>
      </c>
    </row>
    <row r="38">
      <c r="A38" s="1" t="n">
        <v>45720</v>
      </c>
      <c r="B38" t="inlineStr">
        <is>
          <t>ING-049</t>
        </is>
      </c>
      <c r="C38" t="n">
        <v>1.5</v>
      </c>
      <c r="D38" t="inlineStr">
        <is>
          <t>Hot Hold</t>
        </is>
      </c>
      <c r="E38" t="inlineStr">
        <is>
          <t>No</t>
        </is>
      </c>
      <c r="F38" t="inlineStr">
        <is>
          <t>Minimal Utility</t>
        </is>
      </c>
      <c r="G38" s="13">
        <f>IFERROR(VLOOKUP(B38, 'Price Data'!A:D, 3, FALSE) * VLOOKUP(B38, 'Price Data'!A:D, 4, FALSE) * C38, "")</f>
        <v/>
      </c>
    </row>
    <row r="39">
      <c r="A39" s="1" t="n">
        <v>45720</v>
      </c>
      <c r="B39" t="inlineStr">
        <is>
          <t>ING-157</t>
        </is>
      </c>
      <c r="C39" t="n">
        <v>0.5</v>
      </c>
      <c r="D39" t="inlineStr">
        <is>
          <t>Hot Hold</t>
        </is>
      </c>
      <c r="E39" t="inlineStr">
        <is>
          <t>Maybe</t>
        </is>
      </c>
      <c r="F39" t="inlineStr">
        <is>
          <t>Temp. logs req.</t>
        </is>
      </c>
      <c r="G39" s="13">
        <f>IFERROR(VLOOKUP(B39, 'Price Data'!A:D, 3, FALSE) * VLOOKUP(B39, 'Price Data'!A:D, 4, FALSE) * C39, "")</f>
        <v/>
      </c>
    </row>
    <row r="40">
      <c r="A40" s="1" t="n">
        <v>45720</v>
      </c>
      <c r="B40" t="inlineStr">
        <is>
          <t>ING-041</t>
        </is>
      </c>
      <c r="C40" t="n">
        <v>1</v>
      </c>
      <c r="D40" t="inlineStr">
        <is>
          <t>Hot Hold</t>
        </is>
      </c>
      <c r="E40" t="inlineStr">
        <is>
          <t>Weak Maybe</t>
        </is>
      </c>
      <c r="F40" t="inlineStr">
        <is>
          <t>Temp. logs req.</t>
        </is>
      </c>
      <c r="G40" s="13">
        <f>IFERROR(VLOOKUP(B40, 'Price Data'!A:D, 3, FALSE) * VLOOKUP(B40, 'Price Data'!A:D, 4, FALSE) * C40, "")</f>
        <v/>
      </c>
    </row>
    <row r="41">
      <c r="A41" s="1" t="n">
        <v>45720</v>
      </c>
      <c r="B41" t="inlineStr">
        <is>
          <t>ING-159</t>
        </is>
      </c>
      <c r="C41" t="n">
        <v>1</v>
      </c>
      <c r="D41" t="inlineStr">
        <is>
          <t>Hot Hold</t>
        </is>
      </c>
      <c r="E41" t="inlineStr">
        <is>
          <t>Maybe</t>
        </is>
      </c>
      <c r="F41" t="inlineStr">
        <is>
          <t>Freeze (req)</t>
        </is>
      </c>
      <c r="G41" s="13">
        <f>IFERROR(VLOOKUP(B41, 'Price Data'!A:D, 3, FALSE) * VLOOKUP(B41, 'Price Data'!A:D, 4, FALSE) * C41, "")</f>
        <v/>
      </c>
    </row>
    <row r="42">
      <c r="A42" s="1" t="n">
        <v>45720</v>
      </c>
      <c r="B42" t="inlineStr">
        <is>
          <t>ING-016</t>
        </is>
      </c>
      <c r="C42" t="n">
        <v>5.5</v>
      </c>
      <c r="D42" t="inlineStr">
        <is>
          <t>Expiring</t>
        </is>
      </c>
      <c r="E42" t="inlineStr">
        <is>
          <t>Strong Maybe</t>
        </is>
      </c>
      <c r="F42" t="inlineStr">
        <is>
          <t>Freeze (req) | Seafood</t>
        </is>
      </c>
      <c r="G42" s="13">
        <f>IFERROR(VLOOKUP(B42, 'Price Data'!A:D, 3, FALSE) * VLOOKUP(B42, 'Price Data'!A:D, 4, FALSE) * C42, "")</f>
        <v/>
      </c>
    </row>
    <row r="43">
      <c r="A43" s="1" t="n">
        <v>45720</v>
      </c>
      <c r="B43" t="inlineStr">
        <is>
          <t>ING-028</t>
        </is>
      </c>
      <c r="C43" t="n">
        <v>1</v>
      </c>
      <c r="D43" t="inlineStr">
        <is>
          <t>Hot Hold</t>
        </is>
      </c>
      <c r="E43" t="inlineStr">
        <is>
          <t>No</t>
        </is>
      </c>
      <c r="F43" t="inlineStr">
        <is>
          <t>No Date | Temp. logs req.</t>
        </is>
      </c>
      <c r="G43" s="13">
        <f>IFERROR(VLOOKUP(B43, 'Price Data'!A:D, 3, FALSE) * VLOOKUP(B43, 'Price Data'!A:D, 4, FALSE) * C43, "")</f>
        <v/>
      </c>
    </row>
    <row r="44">
      <c r="A44" s="1" t="n">
        <v>45720</v>
      </c>
      <c r="B44" t="inlineStr">
        <is>
          <t>ING-178</t>
        </is>
      </c>
      <c r="C44" t="n">
        <v>0.5</v>
      </c>
      <c r="D44" t="inlineStr">
        <is>
          <t>Expiring</t>
        </is>
      </c>
      <c r="E44" t="inlineStr">
        <is>
          <t>Maybe</t>
        </is>
      </c>
      <c r="F44" t="inlineStr">
        <is>
          <t>Cut produce</t>
        </is>
      </c>
      <c r="G44" s="13">
        <f>IFERROR(VLOOKUP(B44, 'Price Data'!A:D, 3, FALSE) * VLOOKUP(B44, 'Price Data'!A:D, 4, FALSE) * C44, "")</f>
        <v/>
      </c>
    </row>
    <row r="45">
      <c r="A45" s="1" t="n">
        <v>45720</v>
      </c>
      <c r="B45" t="inlineStr">
        <is>
          <t>ING-030</t>
        </is>
      </c>
      <c r="C45" t="n">
        <v>1</v>
      </c>
      <c r="D45" t="inlineStr">
        <is>
          <t>Expiring</t>
        </is>
      </c>
      <c r="E45" t="inlineStr">
        <is>
          <t>Maybe</t>
        </is>
      </c>
      <c r="F45" t="inlineStr">
        <is>
          <t>No tamper-proof seal</t>
        </is>
      </c>
      <c r="G45" s="13">
        <f>IFERROR(VLOOKUP(B45, 'Price Data'!A:D, 3, FALSE) * VLOOKUP(B45, 'Price Data'!A:D, 4, FALSE) * C45, "")</f>
        <v/>
      </c>
    </row>
    <row r="46">
      <c r="A46" s="1" t="n">
        <v>45720</v>
      </c>
      <c r="B46" t="inlineStr">
        <is>
          <t>ING-132</t>
        </is>
      </c>
      <c r="C46" t="n">
        <v>2.5</v>
      </c>
      <c r="D46" t="inlineStr">
        <is>
          <t>Expiring</t>
        </is>
      </c>
      <c r="E46" t="inlineStr">
        <is>
          <t>Yes</t>
        </is>
      </c>
      <c r="F46" t="inlineStr">
        <is>
          <t>As is</t>
        </is>
      </c>
      <c r="G46" s="13">
        <f>IFERROR(VLOOKUP(B46, 'Price Data'!A:D, 3, FALSE) * VLOOKUP(B46, 'Price Data'!A:D, 4, FALSE) * C46, "")</f>
        <v/>
      </c>
    </row>
    <row r="47">
      <c r="A47" s="1" t="n">
        <v>45720</v>
      </c>
      <c r="B47" t="inlineStr">
        <is>
          <t>ING-108</t>
        </is>
      </c>
      <c r="C47" t="n">
        <v>0.5</v>
      </c>
      <c r="D47" t="inlineStr">
        <is>
          <t>Expiring</t>
        </is>
      </c>
      <c r="E47" t="inlineStr">
        <is>
          <t>No</t>
        </is>
      </c>
      <c r="F47" s="2" t="inlineStr">
        <is>
          <t>No tamper-proof seal</t>
        </is>
      </c>
      <c r="G47" s="13">
        <f>IFERROR(VLOOKUP(B47, 'Price Data'!A:D, 3, FALSE) * VLOOKUP(B47, 'Price Data'!A:D, 4, FALSE) * C47, "")</f>
        <v/>
      </c>
    </row>
    <row r="48">
      <c r="A48" s="1" t="n">
        <v>45720</v>
      </c>
      <c r="B48" t="inlineStr">
        <is>
          <t>ING-144</t>
        </is>
      </c>
      <c r="C48" t="n">
        <v>1.5</v>
      </c>
      <c r="D48" t="inlineStr">
        <is>
          <t>DISCARDED</t>
        </is>
      </c>
      <c r="E48" t="inlineStr">
        <is>
          <t>No</t>
        </is>
      </c>
      <c r="F48" t="inlineStr">
        <is>
          <t>Minimal Utility</t>
        </is>
      </c>
      <c r="G48" s="13">
        <f>IFERROR(VLOOKUP(B48, 'Price Data'!A:D, 3, FALSE) * VLOOKUP(B48, 'Price Data'!A:D, 4, FALSE) * C48, "")</f>
        <v/>
      </c>
    </row>
    <row r="49">
      <c r="A49" s="1" t="n">
        <v>45720</v>
      </c>
      <c r="B49" t="inlineStr">
        <is>
          <t>ING-089</t>
        </is>
      </c>
      <c r="C49" t="n">
        <v>2</v>
      </c>
      <c r="D49" t="inlineStr">
        <is>
          <t>Expiring</t>
        </is>
      </c>
      <c r="E49" t="inlineStr">
        <is>
          <t>Yes</t>
        </is>
      </c>
      <c r="F49" t="inlineStr">
        <is>
          <t>Freeze (req)</t>
        </is>
      </c>
      <c r="G49" s="13">
        <f>IFERROR(VLOOKUP(B49, 'Price Data'!A:D, 3, FALSE) * VLOOKUP(B49, 'Price Data'!A:D, 4, FALSE) * C49, "")</f>
        <v/>
      </c>
    </row>
    <row r="50">
      <c r="A50" s="1" t="n">
        <v>45720</v>
      </c>
      <c r="B50" t="inlineStr">
        <is>
          <t>ING-042</t>
        </is>
      </c>
      <c r="C50" t="n">
        <v>1</v>
      </c>
      <c r="D50" t="inlineStr">
        <is>
          <t>Expiring</t>
        </is>
      </c>
      <c r="E50" t="inlineStr">
        <is>
          <t>no</t>
        </is>
      </c>
      <c r="F50" t="inlineStr">
        <is>
          <t>Minimal Utility</t>
        </is>
      </c>
      <c r="G50" s="13">
        <f>IFERROR(VLOOKUP(B50, 'Price Data'!A:D, 3, FALSE) * VLOOKUP(B50, 'Price Data'!A:D, 4, FALSE) * C50, "")</f>
        <v/>
      </c>
    </row>
    <row r="51">
      <c r="A51" s="1" t="n">
        <v>45720</v>
      </c>
      <c r="B51" t="inlineStr">
        <is>
          <t>ING-068</t>
        </is>
      </c>
      <c r="C51" t="n">
        <v>1</v>
      </c>
      <c r="D51" t="inlineStr">
        <is>
          <t>Hot Hold</t>
        </is>
      </c>
      <c r="E51" t="inlineStr">
        <is>
          <t>Maybe</t>
        </is>
      </c>
      <c r="F51" t="inlineStr">
        <is>
          <t>Temp. logs req.</t>
        </is>
      </c>
      <c r="G51" s="13">
        <f>IFERROR(VLOOKUP(B51, 'Price Data'!A:D, 3, FALSE) * VLOOKUP(B51, 'Price Data'!A:D, 4, FALSE) * C51, "")</f>
        <v/>
      </c>
    </row>
    <row r="52">
      <c r="A52" s="1" t="n">
        <v>45720</v>
      </c>
      <c r="B52" t="inlineStr">
        <is>
          <t>ING-128</t>
        </is>
      </c>
      <c r="C52" t="n">
        <v>3</v>
      </c>
      <c r="D52" t="inlineStr">
        <is>
          <t>Hot Hold</t>
        </is>
      </c>
      <c r="E52" t="inlineStr">
        <is>
          <t>No</t>
        </is>
      </c>
      <c r="F52" t="inlineStr">
        <is>
          <t>Temp. logs req. | Cooked produce | Minimal Utility</t>
        </is>
      </c>
      <c r="G52" s="13">
        <f>IFERROR(VLOOKUP(B52, 'Price Data'!A:D, 3, FALSE) * VLOOKUP(B52, 'Price Data'!A:D, 4, FALSE) * C52, "")</f>
        <v/>
      </c>
    </row>
    <row r="53">
      <c r="A53" s="1" t="n">
        <v>45720</v>
      </c>
      <c r="B53" t="inlineStr">
        <is>
          <t>ING-137</t>
        </is>
      </c>
      <c r="C53" t="n">
        <v>2.5</v>
      </c>
      <c r="D53" t="inlineStr">
        <is>
          <t>Expiring</t>
        </is>
      </c>
      <c r="E53" t="inlineStr">
        <is>
          <t>Yes</t>
        </is>
      </c>
      <c r="F53" t="inlineStr">
        <is>
          <t>Freeze (req)</t>
        </is>
      </c>
      <c r="G53" s="13">
        <f>IFERROR(VLOOKUP(B53, 'Price Data'!A:D, 3, FALSE) * VLOOKUP(B53, 'Price Data'!A:D, 4, FALSE) * C53, "")</f>
        <v/>
      </c>
    </row>
    <row r="54">
      <c r="A54" s="1" t="n">
        <v>45720</v>
      </c>
      <c r="B54" t="inlineStr">
        <is>
          <t>ING-127</t>
        </is>
      </c>
      <c r="C54" t="n">
        <v>1</v>
      </c>
      <c r="D54" t="inlineStr">
        <is>
          <t>Expiring</t>
        </is>
      </c>
      <c r="E54" t="inlineStr">
        <is>
          <t>Yes</t>
        </is>
      </c>
      <c r="F54" t="inlineStr">
        <is>
          <t>Freeze (req)</t>
        </is>
      </c>
      <c r="G54" s="13">
        <f>IFERROR(VLOOKUP(B54, 'Price Data'!A:D, 3, FALSE) * VLOOKUP(B54, 'Price Data'!A:D, 4, FALSE) * C54, "")</f>
        <v/>
      </c>
    </row>
    <row r="55">
      <c r="A55" s="1" t="n">
        <v>45720</v>
      </c>
      <c r="B55" t="inlineStr">
        <is>
          <t>ING-157</t>
        </is>
      </c>
      <c r="C55" t="n">
        <v>4</v>
      </c>
      <c r="D55" t="inlineStr">
        <is>
          <t>Hot Hold</t>
        </is>
      </c>
      <c r="E55" t="inlineStr">
        <is>
          <t>Maybe</t>
        </is>
      </c>
      <c r="F55" t="inlineStr">
        <is>
          <t>Temp. logs req.</t>
        </is>
      </c>
      <c r="G55" s="13">
        <f>IFERROR(VLOOKUP(B55, 'Price Data'!A:D, 3, FALSE) * VLOOKUP(B55, 'Price Data'!A:D, 4, FALSE) * C55, "")</f>
        <v/>
      </c>
    </row>
    <row r="56">
      <c r="A56" s="1" t="n">
        <v>45720</v>
      </c>
      <c r="B56" t="inlineStr">
        <is>
          <t>ING-075</t>
        </is>
      </c>
      <c r="C56" t="n">
        <v>1</v>
      </c>
      <c r="D56" t="inlineStr">
        <is>
          <t>Expiring</t>
        </is>
      </c>
      <c r="E56" t="inlineStr">
        <is>
          <t>Yes</t>
        </is>
      </c>
      <c r="F56" t="inlineStr">
        <is>
          <t>Freeze (rec)</t>
        </is>
      </c>
      <c r="G56" s="13">
        <f>IFERROR(VLOOKUP(B56, 'Price Data'!A:D, 3, FALSE) * VLOOKUP(B56, 'Price Data'!A:D, 4, FALSE) * C56, "")</f>
        <v/>
      </c>
    </row>
    <row r="57">
      <c r="A57" s="1" t="n">
        <v>45720</v>
      </c>
      <c r="B57" t="inlineStr">
        <is>
          <t>ING-140</t>
        </is>
      </c>
      <c r="C57" t="n">
        <v>0.5</v>
      </c>
      <c r="D57" t="inlineStr">
        <is>
          <t>Expiring</t>
        </is>
      </c>
      <c r="E57" t="inlineStr">
        <is>
          <t>No</t>
        </is>
      </c>
      <c r="F57" t="inlineStr">
        <is>
          <t>Minimal Utility | No tamper-proof seal</t>
        </is>
      </c>
      <c r="G57" s="13">
        <f>IFERROR(VLOOKUP(B57, 'Price Data'!A:D, 3, FALSE) * VLOOKUP(B57, 'Price Data'!A:D, 4, FALSE) * C57, "")</f>
        <v/>
      </c>
    </row>
    <row r="58">
      <c r="A58" s="1" t="n">
        <v>45720</v>
      </c>
      <c r="B58" t="inlineStr">
        <is>
          <t>ING-145</t>
        </is>
      </c>
      <c r="C58" t="n">
        <v>3</v>
      </c>
      <c r="D58" t="inlineStr">
        <is>
          <t>Expiring</t>
        </is>
      </c>
      <c r="E58" t="inlineStr">
        <is>
          <t>Yes</t>
        </is>
      </c>
      <c r="F58" t="inlineStr">
        <is>
          <t>Freeze (req)</t>
        </is>
      </c>
      <c r="G58" s="13">
        <f>IFERROR(VLOOKUP(B58, 'Price Data'!A:D, 3, FALSE) * VLOOKUP(B58, 'Price Data'!A:D, 4, FALSE) * C58, "")</f>
        <v/>
      </c>
    </row>
    <row r="59">
      <c r="A59" s="1" t="n">
        <v>45720</v>
      </c>
      <c r="B59" t="inlineStr">
        <is>
          <t>ING-029</t>
        </is>
      </c>
      <c r="C59" t="n">
        <v>4</v>
      </c>
      <c r="D59" t="inlineStr">
        <is>
          <t>Expiring</t>
        </is>
      </c>
      <c r="E59" t="inlineStr">
        <is>
          <t>Yes</t>
        </is>
      </c>
      <c r="F59" s="2" t="inlineStr">
        <is>
          <t xml:space="preserve">Freeze (rec) </t>
        </is>
      </c>
      <c r="G59" s="13">
        <f>IFERROR(VLOOKUP(B59, 'Price Data'!A:D, 3, FALSE) * VLOOKUP(B59, 'Price Data'!A:D, 4, FALSE) * C59, "")</f>
        <v/>
      </c>
    </row>
    <row r="60">
      <c r="A60" s="1" t="n">
        <v>45720</v>
      </c>
      <c r="B60" t="inlineStr">
        <is>
          <t>ING-048</t>
        </is>
      </c>
      <c r="C60" t="n">
        <v>0.5</v>
      </c>
      <c r="D60" t="inlineStr">
        <is>
          <t>Expiring</t>
        </is>
      </c>
      <c r="E60" t="inlineStr">
        <is>
          <t>No</t>
        </is>
      </c>
      <c r="F60" t="inlineStr">
        <is>
          <t>Freeze (req), No tamper-proof seal</t>
        </is>
      </c>
      <c r="G60" s="13">
        <f>IFERROR(VLOOKUP(B60, 'Price Data'!A:D, 3, FALSE) * VLOOKUP(B60, 'Price Data'!A:D, 4, FALSE) * C60, "")</f>
        <v/>
      </c>
    </row>
    <row r="61">
      <c r="A61" s="1" t="n">
        <v>45720</v>
      </c>
      <c r="B61" t="inlineStr">
        <is>
          <t>ING-105</t>
        </is>
      </c>
      <c r="C61" t="n">
        <v>1</v>
      </c>
      <c r="D61" t="inlineStr">
        <is>
          <t>Hot Hold</t>
        </is>
      </c>
      <c r="E61" t="inlineStr">
        <is>
          <t>Weak Maybe</t>
        </is>
      </c>
      <c r="F61" t="inlineStr">
        <is>
          <t>Temp. logs req. | Minimal Utility</t>
        </is>
      </c>
      <c r="G61" s="13">
        <f>IFERROR(VLOOKUP(B61, 'Price Data'!A:D, 3, FALSE) * VLOOKUP(B61, 'Price Data'!A:D, 4, FALSE) * C61, "")</f>
        <v/>
      </c>
    </row>
    <row r="62">
      <c r="A62" s="1" t="n">
        <v>45720</v>
      </c>
      <c r="B62" t="inlineStr">
        <is>
          <t>ING-111</t>
        </is>
      </c>
      <c r="C62" t="n">
        <v>1.5</v>
      </c>
      <c r="D62" t="inlineStr">
        <is>
          <t>Hot Hold</t>
        </is>
      </c>
      <c r="E62" t="inlineStr">
        <is>
          <t>Maybe</t>
        </is>
      </c>
      <c r="F62" t="inlineStr">
        <is>
          <t>Freeze (req)</t>
        </is>
      </c>
      <c r="G62" s="13">
        <f>IFERROR(VLOOKUP(B62, 'Price Data'!A:D, 3, FALSE) * VLOOKUP(B62, 'Price Data'!A:D, 4, FALSE) * C62, "")</f>
        <v/>
      </c>
    </row>
    <row r="63">
      <c r="A63" s="1" t="n">
        <v>45720</v>
      </c>
      <c r="B63" t="inlineStr">
        <is>
          <t>ING-106</t>
        </is>
      </c>
      <c r="C63" t="n">
        <v>2.5</v>
      </c>
      <c r="D63" t="inlineStr">
        <is>
          <t>Expiring</t>
        </is>
      </c>
      <c r="E63" t="inlineStr">
        <is>
          <t>Maybe</t>
        </is>
      </c>
      <c r="F63" t="inlineStr">
        <is>
          <t>Temp. logs req.</t>
        </is>
      </c>
      <c r="G63" s="13">
        <f>IFERROR(VLOOKUP(B63, 'Price Data'!A:D, 3, FALSE) * VLOOKUP(B63, 'Price Data'!A:D, 4, FALSE) * C63, "")</f>
        <v/>
      </c>
    </row>
    <row r="64">
      <c r="A64" s="1" t="n">
        <v>45721</v>
      </c>
      <c r="B64" t="inlineStr">
        <is>
          <t>ING-095</t>
        </is>
      </c>
      <c r="C64" t="n">
        <v>1.5</v>
      </c>
      <c r="D64" t="inlineStr">
        <is>
          <t>Expiring</t>
        </is>
      </c>
      <c r="E64" t="inlineStr">
        <is>
          <t>Strong Maybe</t>
        </is>
      </c>
      <c r="F64" t="inlineStr">
        <is>
          <t>Freeze (req) | Seafood</t>
        </is>
      </c>
      <c r="G64" s="13">
        <f>IFERROR(VLOOKUP(B64, 'Price Data'!A:D, 3, FALSE) * VLOOKUP(B64, 'Price Data'!A:D, 4, FALSE) * C64, "")</f>
        <v/>
      </c>
    </row>
    <row r="65">
      <c r="A65" s="1" t="n">
        <v>45721</v>
      </c>
      <c r="B65" t="inlineStr">
        <is>
          <t>ING-123</t>
        </is>
      </c>
      <c r="C65" t="n">
        <v>3</v>
      </c>
      <c r="D65" t="inlineStr">
        <is>
          <t>Expiring</t>
        </is>
      </c>
      <c r="E65" t="inlineStr">
        <is>
          <t>Maybe</t>
        </is>
      </c>
      <c r="F65" t="inlineStr">
        <is>
          <t>As is | Minimal Utility</t>
        </is>
      </c>
      <c r="G65" s="13">
        <f>IFERROR(VLOOKUP(B65, 'Price Data'!A:D, 3, FALSE) * VLOOKUP(B65, 'Price Data'!A:D, 4, FALSE) * C65, "")</f>
        <v/>
      </c>
    </row>
    <row r="66">
      <c r="A66" s="1" t="n">
        <v>45721</v>
      </c>
      <c r="B66" t="inlineStr">
        <is>
          <t>ING-120</t>
        </is>
      </c>
      <c r="C66" t="n">
        <v>1.5</v>
      </c>
      <c r="D66" t="inlineStr">
        <is>
          <t>Expiring</t>
        </is>
      </c>
      <c r="E66" t="inlineStr">
        <is>
          <t>Yes</t>
        </is>
      </c>
      <c r="F66" t="inlineStr">
        <is>
          <t>Freeze (req)</t>
        </is>
      </c>
      <c r="G66" s="13">
        <f>IFERROR(VLOOKUP(B66, 'Price Data'!A:D, 3, FALSE) * VLOOKUP(B66, 'Price Data'!A:D, 4, FALSE) * C66, "")</f>
        <v/>
      </c>
    </row>
    <row r="67">
      <c r="A67" s="1" t="n">
        <v>45721</v>
      </c>
      <c r="B67" t="inlineStr">
        <is>
          <t>ING-019</t>
        </is>
      </c>
      <c r="C67" t="n">
        <v>0.5</v>
      </c>
      <c r="D67" t="inlineStr">
        <is>
          <t>Expiring</t>
        </is>
      </c>
      <c r="E67" t="inlineStr">
        <is>
          <t>Yes</t>
        </is>
      </c>
      <c r="F67" t="inlineStr">
        <is>
          <t>As is</t>
        </is>
      </c>
      <c r="G67" s="13">
        <f>IFERROR(VLOOKUP(B67, 'Price Data'!A:D, 3, FALSE) * VLOOKUP(B67, 'Price Data'!A:D, 4, FALSE) * C67, "")</f>
        <v/>
      </c>
    </row>
    <row r="68">
      <c r="A68" s="1" t="n">
        <v>45721</v>
      </c>
      <c r="B68" t="inlineStr">
        <is>
          <t>ING-114</t>
        </is>
      </c>
      <c r="C68" t="n">
        <v>3</v>
      </c>
      <c r="D68" t="inlineStr">
        <is>
          <t>Expiring</t>
        </is>
      </c>
      <c r="E68" t="inlineStr">
        <is>
          <t>Yes</t>
        </is>
      </c>
      <c r="F68" s="2" t="inlineStr">
        <is>
          <t>Freeze (req)</t>
        </is>
      </c>
      <c r="G68" s="13">
        <f>IFERROR(VLOOKUP(B68, 'Price Data'!A:D, 3, FALSE) * VLOOKUP(B68, 'Price Data'!A:D, 4, FALSE) * C68, "")</f>
        <v/>
      </c>
    </row>
    <row r="69">
      <c r="A69" s="1" t="n">
        <v>45721</v>
      </c>
      <c r="B69" t="inlineStr">
        <is>
          <t>ING-039</t>
        </is>
      </c>
      <c r="C69" t="n">
        <v>0.5</v>
      </c>
      <c r="D69" t="inlineStr">
        <is>
          <t>Expiring</t>
        </is>
      </c>
      <c r="E69" t="inlineStr">
        <is>
          <t>No</t>
        </is>
      </c>
      <c r="F69" t="inlineStr">
        <is>
          <t>No tamper-proof seal</t>
        </is>
      </c>
      <c r="G69" s="13">
        <f>IFERROR(VLOOKUP(B69, 'Price Data'!A:D, 3, FALSE) * VLOOKUP(B69, 'Price Data'!A:D, 4, FALSE) * C69, "")</f>
        <v/>
      </c>
    </row>
    <row r="70">
      <c r="A70" s="1" t="n">
        <v>45721</v>
      </c>
      <c r="B70" t="inlineStr">
        <is>
          <t>ING-076</t>
        </is>
      </c>
      <c r="C70" t="n">
        <v>3</v>
      </c>
      <c r="D70" t="inlineStr">
        <is>
          <t>Expiring</t>
        </is>
      </c>
      <c r="E70" t="inlineStr">
        <is>
          <t>Yes</t>
        </is>
      </c>
      <c r="F70" s="2" t="inlineStr">
        <is>
          <t>As is</t>
        </is>
      </c>
      <c r="G70" s="13">
        <f>IFERROR(VLOOKUP(B70, 'Price Data'!A:D, 3, FALSE) * VLOOKUP(B70, 'Price Data'!A:D, 4, FALSE) * C70, "")</f>
        <v/>
      </c>
    </row>
    <row r="71">
      <c r="A71" s="1" t="n">
        <v>45721</v>
      </c>
      <c r="B71" t="inlineStr">
        <is>
          <t>ING-122</t>
        </is>
      </c>
      <c r="C71" t="n">
        <v>3.5</v>
      </c>
      <c r="D71" t="inlineStr">
        <is>
          <t>Expiring</t>
        </is>
      </c>
      <c r="E71" t="inlineStr">
        <is>
          <t>Maybe</t>
        </is>
      </c>
      <c r="F71" s="2" t="inlineStr">
        <is>
          <t>As is, Minimal Utility</t>
        </is>
      </c>
      <c r="G71" s="13">
        <f>IFERROR(VLOOKUP(B71, 'Price Data'!A:D, 3, FALSE) * VLOOKUP(B71, 'Price Data'!A:D, 4, FALSE) * C71, "")</f>
        <v/>
      </c>
    </row>
    <row r="72">
      <c r="A72" s="1" t="n">
        <v>45721</v>
      </c>
      <c r="B72" t="inlineStr">
        <is>
          <t>ING-006</t>
        </is>
      </c>
      <c r="C72" t="n">
        <v>2.5</v>
      </c>
      <c r="D72" t="inlineStr">
        <is>
          <t>Expiring</t>
        </is>
      </c>
      <c r="E72" t="inlineStr">
        <is>
          <t>Strong Maybe</t>
        </is>
      </c>
      <c r="F72" t="inlineStr">
        <is>
          <t>Freeze (req) | Seafood</t>
        </is>
      </c>
      <c r="G72" s="13">
        <f>IFERROR(VLOOKUP(B72, 'Price Data'!A:D, 3, FALSE) * VLOOKUP(B72, 'Price Data'!A:D, 4, FALSE) * C72, "")</f>
        <v/>
      </c>
    </row>
    <row r="73">
      <c r="A73" s="1" t="n">
        <v>45721</v>
      </c>
      <c r="B73" t="inlineStr">
        <is>
          <t>ING-023</t>
        </is>
      </c>
      <c r="C73" t="n">
        <v>3.5</v>
      </c>
      <c r="D73" t="inlineStr">
        <is>
          <t>Expiring</t>
        </is>
      </c>
      <c r="E73" t="inlineStr">
        <is>
          <t>Weak Maybe</t>
        </is>
      </c>
      <c r="F73" t="inlineStr">
        <is>
          <t>Freeze (rec) | Minimal Use</t>
        </is>
      </c>
      <c r="G73" s="13">
        <f>IFERROR(VLOOKUP(B73, 'Price Data'!A:D, 3, FALSE) * VLOOKUP(B73, 'Price Data'!A:D, 4, FALSE) * C73, "")</f>
        <v/>
      </c>
    </row>
    <row r="74">
      <c r="A74" s="1" t="n">
        <v>45721</v>
      </c>
      <c r="B74" t="inlineStr">
        <is>
          <t>ING-148</t>
        </is>
      </c>
      <c r="C74" t="n">
        <v>1</v>
      </c>
      <c r="D74" t="inlineStr">
        <is>
          <t>Hot Hold</t>
        </is>
      </c>
      <c r="E74" t="inlineStr">
        <is>
          <t>Maybe</t>
        </is>
      </c>
      <c r="F74" t="inlineStr">
        <is>
          <t>Temp. logs req.</t>
        </is>
      </c>
      <c r="G74" s="13">
        <f>IFERROR(VLOOKUP(B74, 'Price Data'!A:D, 3, FALSE) * VLOOKUP(B74, 'Price Data'!A:D, 4, FALSE) * C74, "")</f>
        <v/>
      </c>
    </row>
    <row r="75">
      <c r="A75" s="1" t="n">
        <v>45721</v>
      </c>
      <c r="B75" t="inlineStr">
        <is>
          <t>ING-064</t>
        </is>
      </c>
      <c r="C75" t="n">
        <v>0.5</v>
      </c>
      <c r="D75" t="inlineStr">
        <is>
          <t>Expiring</t>
        </is>
      </c>
      <c r="E75" t="inlineStr">
        <is>
          <t>No</t>
        </is>
      </c>
      <c r="F75" t="inlineStr">
        <is>
          <t>Minimal Utility</t>
        </is>
      </c>
      <c r="G75" s="13">
        <f>IFERROR(VLOOKUP(B75, 'Price Data'!A:D, 3, FALSE) * VLOOKUP(B75, 'Price Data'!A:D, 4, FALSE) * C75, "")</f>
        <v/>
      </c>
    </row>
    <row r="76">
      <c r="A76" s="1" t="n">
        <v>45721</v>
      </c>
      <c r="B76" t="inlineStr">
        <is>
          <t>ING-016</t>
        </is>
      </c>
      <c r="C76" t="n">
        <v>1.5</v>
      </c>
      <c r="D76" t="inlineStr">
        <is>
          <t>Hot Hold</t>
        </is>
      </c>
      <c r="E76" t="inlineStr">
        <is>
          <t>Weak Maybe</t>
        </is>
      </c>
      <c r="F76" t="inlineStr">
        <is>
          <t>Temp. logs req. | Seafood</t>
        </is>
      </c>
      <c r="G76" s="13">
        <f>IFERROR(VLOOKUP(B76, 'Price Data'!A:D, 3, FALSE) * VLOOKUP(B76, 'Price Data'!A:D, 4, FALSE) * C76, "")</f>
        <v/>
      </c>
    </row>
    <row r="77">
      <c r="A77" s="1" t="n">
        <v>45721</v>
      </c>
      <c r="B77" t="inlineStr">
        <is>
          <t>ING-029</t>
        </is>
      </c>
      <c r="C77" t="n">
        <v>6.5</v>
      </c>
      <c r="D77" t="inlineStr">
        <is>
          <t>Expiring</t>
        </is>
      </c>
      <c r="E77" t="inlineStr">
        <is>
          <t>Yes</t>
        </is>
      </c>
      <c r="F77" t="inlineStr">
        <is>
          <t>Freeze (req)</t>
        </is>
      </c>
      <c r="G77" s="13">
        <f>IFERROR(VLOOKUP(B77, 'Price Data'!A:D, 3, FALSE) * VLOOKUP(B77, 'Price Data'!A:D, 4, FALSE) * C77, "")</f>
        <v/>
      </c>
    </row>
    <row r="78">
      <c r="A78" s="1" t="n">
        <v>45721</v>
      </c>
      <c r="B78" t="inlineStr">
        <is>
          <t>ING-120</t>
        </is>
      </c>
      <c r="C78" t="n">
        <v>2.5</v>
      </c>
      <c r="D78" t="inlineStr">
        <is>
          <t>Expiring</t>
        </is>
      </c>
      <c r="E78" t="inlineStr">
        <is>
          <t>Yes</t>
        </is>
      </c>
      <c r="F78" t="inlineStr">
        <is>
          <t>Freeze (req)</t>
        </is>
      </c>
      <c r="G78" s="13">
        <f>IFERROR(VLOOKUP(B78, 'Price Data'!A:D, 3, FALSE) * VLOOKUP(B78, 'Price Data'!A:D, 4, FALSE) * C78, "")</f>
        <v/>
      </c>
    </row>
    <row r="79">
      <c r="A79" s="1" t="n">
        <v>45721</v>
      </c>
      <c r="B79" t="inlineStr">
        <is>
          <t>ING-090</t>
        </is>
      </c>
      <c r="C79" t="n">
        <v>5.5</v>
      </c>
      <c r="D79" t="inlineStr">
        <is>
          <t>Expiring</t>
        </is>
      </c>
      <c r="E79" t="inlineStr">
        <is>
          <t>Strong Maybe</t>
        </is>
      </c>
      <c r="F79" t="inlineStr">
        <is>
          <t xml:space="preserve">Freeze (rec) </t>
        </is>
      </c>
      <c r="G79" s="13">
        <f>IFERROR(VLOOKUP(B79, 'Price Data'!A:D, 3, FALSE) * VLOOKUP(B79, 'Price Data'!A:D, 4, FALSE) * C79, "")</f>
        <v/>
      </c>
    </row>
    <row r="80">
      <c r="A80" s="1" t="n">
        <v>45721</v>
      </c>
      <c r="B80" t="inlineStr">
        <is>
          <t>ING-129</t>
        </is>
      </c>
      <c r="C80" t="n">
        <v>1</v>
      </c>
      <c r="D80" t="inlineStr">
        <is>
          <t>Hot Hold</t>
        </is>
      </c>
      <c r="E80" t="inlineStr">
        <is>
          <t>Maybe</t>
        </is>
      </c>
      <c r="F80" t="inlineStr">
        <is>
          <t>Temp. logs req.</t>
        </is>
      </c>
      <c r="G80" s="13">
        <f>IFERROR(VLOOKUP(B80, 'Price Data'!A:D, 3, FALSE) * VLOOKUP(B80, 'Price Data'!A:D, 4, FALSE) * C80, "")</f>
        <v/>
      </c>
    </row>
    <row r="81">
      <c r="A81" s="1" t="n">
        <v>45721</v>
      </c>
      <c r="B81" t="inlineStr">
        <is>
          <t>ING-004</t>
        </is>
      </c>
      <c r="C81" t="n">
        <v>1</v>
      </c>
      <c r="D81" t="inlineStr">
        <is>
          <t>Expiring</t>
        </is>
      </c>
      <c r="E81" t="inlineStr">
        <is>
          <t>No</t>
        </is>
      </c>
      <c r="F81" t="inlineStr">
        <is>
          <t>Minimal Utility</t>
        </is>
      </c>
      <c r="G81" s="13">
        <f>IFERROR(VLOOKUP(B81, 'Price Data'!A:D, 3, FALSE) * VLOOKUP(B81, 'Price Data'!A:D, 4, FALSE) * C81, "")</f>
        <v/>
      </c>
    </row>
    <row r="82">
      <c r="A82" s="1" t="n">
        <v>45721</v>
      </c>
      <c r="B82" t="inlineStr">
        <is>
          <t>ING-185</t>
        </is>
      </c>
      <c r="C82" t="n">
        <v>1</v>
      </c>
      <c r="D82" t="inlineStr">
        <is>
          <t>Expiring</t>
        </is>
      </c>
      <c r="E82" t="inlineStr">
        <is>
          <t>Weak Maybe</t>
        </is>
      </c>
      <c r="F82" t="inlineStr">
        <is>
          <t>No tamper-proof seal, Freeze (req)</t>
        </is>
      </c>
      <c r="G82" s="13">
        <f>IFERROR(VLOOKUP(B82, 'Price Data'!A:D, 3, FALSE) * VLOOKUP(B82, 'Price Data'!A:D, 4, FALSE) * C82, "")</f>
        <v/>
      </c>
    </row>
    <row r="83">
      <c r="A83" s="1" t="n">
        <v>45721</v>
      </c>
      <c r="B83" t="inlineStr">
        <is>
          <t>ING-045</t>
        </is>
      </c>
      <c r="C83" t="n">
        <v>8.5</v>
      </c>
      <c r="D83" t="inlineStr">
        <is>
          <t>Expiring</t>
        </is>
      </c>
      <c r="E83" t="inlineStr">
        <is>
          <t>Strong Maybe</t>
        </is>
      </c>
      <c r="F83" s="2" t="inlineStr">
        <is>
          <t>Cut produce | As is</t>
        </is>
      </c>
      <c r="G83" s="13">
        <f>IFERROR(VLOOKUP(B83, 'Price Data'!A:D, 3, FALSE) * VLOOKUP(B83, 'Price Data'!A:D, 4, FALSE) * C83, "")</f>
        <v/>
      </c>
    </row>
    <row r="84">
      <c r="A84" s="1" t="n">
        <v>45721</v>
      </c>
      <c r="B84" t="inlineStr">
        <is>
          <t>ING-110</t>
        </is>
      </c>
      <c r="C84" t="n">
        <v>2.5</v>
      </c>
      <c r="D84" t="inlineStr">
        <is>
          <t>Expiring</t>
        </is>
      </c>
      <c r="E84" t="inlineStr">
        <is>
          <t>Yes</t>
        </is>
      </c>
      <c r="F84" t="inlineStr">
        <is>
          <t>Freeze (req)</t>
        </is>
      </c>
      <c r="G84" s="13">
        <f>IFERROR(VLOOKUP(B84, 'Price Data'!A:D, 3, FALSE) * VLOOKUP(B84, 'Price Data'!A:D, 4, FALSE) * C84, "")</f>
        <v/>
      </c>
    </row>
    <row r="85">
      <c r="A85" s="1" t="n">
        <v>45721</v>
      </c>
      <c r="B85" t="inlineStr">
        <is>
          <t>ING-057</t>
        </is>
      </c>
      <c r="C85" t="n">
        <v>1</v>
      </c>
      <c r="D85" t="inlineStr">
        <is>
          <t>Expiring</t>
        </is>
      </c>
      <c r="E85" t="inlineStr">
        <is>
          <t>Weak Maybe</t>
        </is>
      </c>
      <c r="F85" t="inlineStr">
        <is>
          <t>Cut produce | No tamper-proof seal</t>
        </is>
      </c>
      <c r="G85" s="13">
        <f>IFERROR(VLOOKUP(B85, 'Price Data'!A:D, 3, FALSE) * VLOOKUP(B85, 'Price Data'!A:D, 4, FALSE) * C85, "")</f>
        <v/>
      </c>
    </row>
    <row r="86">
      <c r="A86" s="1" t="n">
        <v>45721</v>
      </c>
      <c r="B86" t="inlineStr">
        <is>
          <t>ING-128</t>
        </is>
      </c>
      <c r="C86" t="n">
        <v>1</v>
      </c>
      <c r="D86" t="inlineStr">
        <is>
          <t>Hot Hold</t>
        </is>
      </c>
      <c r="E86" t="inlineStr">
        <is>
          <t>No</t>
        </is>
      </c>
      <c r="F86" t="inlineStr">
        <is>
          <t>Temp. logs req. | Cooked produce | Minimal Utility</t>
        </is>
      </c>
      <c r="G86" s="13">
        <f>IFERROR(VLOOKUP(B86, 'Price Data'!A:D, 3, FALSE) * VLOOKUP(B86, 'Price Data'!A:D, 4, FALSE) * C86, "")</f>
        <v/>
      </c>
    </row>
    <row r="87">
      <c r="A87" s="1" t="n">
        <v>45721</v>
      </c>
      <c r="B87" t="inlineStr">
        <is>
          <t>ING-009</t>
        </is>
      </c>
      <c r="C87" t="n">
        <v>1.5</v>
      </c>
      <c r="D87" t="inlineStr">
        <is>
          <t>Expiring</t>
        </is>
      </c>
      <c r="E87" t="inlineStr">
        <is>
          <t>Yes</t>
        </is>
      </c>
      <c r="F87" s="2" t="inlineStr">
        <is>
          <t>As is</t>
        </is>
      </c>
      <c r="G87" s="13">
        <f>IFERROR(VLOOKUP(B87, 'Price Data'!A:D, 3, FALSE) * VLOOKUP(B87, 'Price Data'!A:D, 4, FALSE) * C87, "")</f>
        <v/>
      </c>
    </row>
    <row r="88">
      <c r="A88" s="1" t="n">
        <v>45721</v>
      </c>
      <c r="B88" t="inlineStr">
        <is>
          <t>ING-120</t>
        </is>
      </c>
      <c r="C88" t="n">
        <v>0.5</v>
      </c>
      <c r="D88" t="inlineStr">
        <is>
          <t>Expiring</t>
        </is>
      </c>
      <c r="E88" t="inlineStr">
        <is>
          <t>Yes</t>
        </is>
      </c>
      <c r="F88" t="inlineStr">
        <is>
          <t>Freeze (req)</t>
        </is>
      </c>
      <c r="G88" s="13">
        <f>IFERROR(VLOOKUP(B88, 'Price Data'!A:D, 3, FALSE) * VLOOKUP(B88, 'Price Data'!A:D, 4, FALSE) * C88, "")</f>
        <v/>
      </c>
    </row>
    <row r="89">
      <c r="A89" s="1" t="n">
        <v>45721</v>
      </c>
      <c r="B89" t="inlineStr">
        <is>
          <t>ING-157</t>
        </is>
      </c>
      <c r="C89" t="n">
        <v>1.5</v>
      </c>
      <c r="D89" t="inlineStr">
        <is>
          <t>Hot Hold</t>
        </is>
      </c>
      <c r="E89" t="inlineStr">
        <is>
          <t>Maybe</t>
        </is>
      </c>
      <c r="F89" t="inlineStr">
        <is>
          <t>Temp. logs req.</t>
        </is>
      </c>
      <c r="G89" s="13">
        <f>IFERROR(VLOOKUP(B89, 'Price Data'!A:D, 3, FALSE) * VLOOKUP(B89, 'Price Data'!A:D, 4, FALSE) * C89, "")</f>
        <v/>
      </c>
    </row>
    <row r="90">
      <c r="A90" s="1" t="n">
        <v>45721</v>
      </c>
      <c r="B90" t="inlineStr">
        <is>
          <t>ING-123</t>
        </is>
      </c>
      <c r="C90" t="n">
        <v>4</v>
      </c>
      <c r="D90" t="inlineStr">
        <is>
          <t>Expiring</t>
        </is>
      </c>
      <c r="E90" t="inlineStr">
        <is>
          <t>Maybe</t>
        </is>
      </c>
      <c r="F90" t="inlineStr">
        <is>
          <t>As is | Minimal Utility</t>
        </is>
      </c>
      <c r="G90" s="13">
        <f>IFERROR(VLOOKUP(B90, 'Price Data'!A:D, 3, FALSE) * VLOOKUP(B90, 'Price Data'!A:D, 4, FALSE) * C90, "")</f>
        <v/>
      </c>
    </row>
    <row r="91">
      <c r="A91" s="1" t="n">
        <v>45721</v>
      </c>
      <c r="B91" t="inlineStr">
        <is>
          <t>ING-057</t>
        </is>
      </c>
      <c r="C91" t="n">
        <v>0.5</v>
      </c>
      <c r="D91" t="inlineStr">
        <is>
          <t>Expiring</t>
        </is>
      </c>
      <c r="E91" t="inlineStr">
        <is>
          <t>Weak Maybe</t>
        </is>
      </c>
      <c r="F91" t="inlineStr">
        <is>
          <t>Cut produce | No tamper-proof seal</t>
        </is>
      </c>
      <c r="G91" s="13">
        <f>IFERROR(VLOOKUP(B91, 'Price Data'!A:D, 3, FALSE) * VLOOKUP(B91, 'Price Data'!A:D, 4, FALSE) * C91, "")</f>
        <v/>
      </c>
    </row>
    <row r="92">
      <c r="A92" s="1" t="n">
        <v>45723</v>
      </c>
      <c r="B92" t="inlineStr">
        <is>
          <t>ING-121</t>
        </is>
      </c>
      <c r="C92" t="n">
        <v>0.5</v>
      </c>
      <c r="D92" t="inlineStr">
        <is>
          <t>Expiring</t>
        </is>
      </c>
      <c r="E92" t="inlineStr">
        <is>
          <t>Weak Maybe</t>
        </is>
      </c>
      <c r="F92" s="2" t="inlineStr">
        <is>
          <t>No tamper-proof seal</t>
        </is>
      </c>
      <c r="G92" s="13">
        <f>IFERROR(VLOOKUP(B92, 'Price Data'!A:D, 3, FALSE) * VLOOKUP(B92, 'Price Data'!A:D, 4, FALSE) * C92, "")</f>
        <v/>
      </c>
    </row>
    <row r="93">
      <c r="A93" s="1" t="n">
        <v>45723</v>
      </c>
      <c r="B93" t="inlineStr">
        <is>
          <t>ING-091</t>
        </is>
      </c>
      <c r="C93" t="n">
        <v>2</v>
      </c>
      <c r="D93" t="inlineStr">
        <is>
          <t>Expiring</t>
        </is>
      </c>
      <c r="E93" t="inlineStr">
        <is>
          <t>Yes</t>
        </is>
      </c>
      <c r="F93" t="inlineStr">
        <is>
          <t>Freeze (req)</t>
        </is>
      </c>
      <c r="G93" s="13">
        <f>IFERROR(VLOOKUP(B93, 'Price Data'!A:D, 3, FALSE) * VLOOKUP(B93, 'Price Data'!A:D, 4, FALSE) * C93, "")</f>
        <v/>
      </c>
    </row>
    <row r="94">
      <c r="A94" s="1" t="n">
        <v>45723</v>
      </c>
      <c r="B94" t="inlineStr">
        <is>
          <t>ING-132</t>
        </is>
      </c>
      <c r="C94" t="n">
        <v>1</v>
      </c>
      <c r="D94" t="inlineStr">
        <is>
          <t>Expiring</t>
        </is>
      </c>
      <c r="E94" t="inlineStr">
        <is>
          <t>Yes</t>
        </is>
      </c>
      <c r="F94" t="inlineStr">
        <is>
          <t>As is</t>
        </is>
      </c>
      <c r="G94" s="13">
        <f>IFERROR(VLOOKUP(B94, 'Price Data'!A:D, 3, FALSE) * VLOOKUP(B94, 'Price Data'!A:D, 4, FALSE) * C94, "")</f>
        <v/>
      </c>
    </row>
    <row r="95">
      <c r="A95" s="1" t="n">
        <v>45723</v>
      </c>
      <c r="B95" t="inlineStr">
        <is>
          <t>ING-134</t>
        </is>
      </c>
      <c r="C95" t="n">
        <v>1</v>
      </c>
      <c r="D95" t="inlineStr">
        <is>
          <t>Hot Hold</t>
        </is>
      </c>
      <c r="E95" t="inlineStr">
        <is>
          <t>No</t>
        </is>
      </c>
      <c r="F95" t="inlineStr">
        <is>
          <t>Minimal Utility</t>
        </is>
      </c>
      <c r="G95" s="13">
        <f>IFERROR(VLOOKUP(B95, 'Price Data'!A:D, 3, FALSE) * VLOOKUP(B95, 'Price Data'!A:D, 4, FALSE) * C95, "")</f>
        <v/>
      </c>
    </row>
    <row r="96">
      <c r="A96" s="1" t="n">
        <v>45723</v>
      </c>
      <c r="B96" t="inlineStr">
        <is>
          <t>ING-056</t>
        </is>
      </c>
      <c r="C96" t="n">
        <v>1</v>
      </c>
      <c r="D96" t="inlineStr">
        <is>
          <t>Hot Hold</t>
        </is>
      </c>
      <c r="E96" t="inlineStr">
        <is>
          <t>No</t>
        </is>
      </c>
      <c r="F96" t="inlineStr">
        <is>
          <t>Temp. logs req. | Cooked produce | Minimal Utility</t>
        </is>
      </c>
      <c r="G96" s="13">
        <f>IFERROR(VLOOKUP(B96, 'Price Data'!A:D, 3, FALSE) * VLOOKUP(B96, 'Price Data'!A:D, 4, FALSE) * C96, "")</f>
        <v/>
      </c>
    </row>
    <row r="97">
      <c r="A97" s="1" t="n">
        <v>45723</v>
      </c>
      <c r="B97" t="inlineStr">
        <is>
          <t>ING-178</t>
        </is>
      </c>
      <c r="C97" t="n">
        <v>2</v>
      </c>
      <c r="D97" t="inlineStr">
        <is>
          <t>Expiring</t>
        </is>
      </c>
      <c r="E97" t="inlineStr">
        <is>
          <t>Maybe</t>
        </is>
      </c>
      <c r="F97" s="2" t="inlineStr">
        <is>
          <t>Cut produce | No tamper-proof seal</t>
        </is>
      </c>
      <c r="G97" s="13">
        <f>IFERROR(VLOOKUP(B97, 'Price Data'!A:D, 3, FALSE) * VLOOKUP(B97, 'Price Data'!A:D, 4, FALSE) * C97, "")</f>
        <v/>
      </c>
    </row>
    <row r="98">
      <c r="A98" s="1" t="n">
        <v>45723</v>
      </c>
      <c r="B98" t="inlineStr">
        <is>
          <t>ING-109</t>
        </is>
      </c>
      <c r="C98" t="n">
        <v>2.5</v>
      </c>
      <c r="D98" t="inlineStr">
        <is>
          <t>Expiring</t>
        </is>
      </c>
      <c r="E98" t="inlineStr">
        <is>
          <t>Yes</t>
        </is>
      </c>
      <c r="F98" s="2" t="inlineStr">
        <is>
          <t>Freeze (req)</t>
        </is>
      </c>
      <c r="G98" s="13">
        <f>IFERROR(VLOOKUP(B98, 'Price Data'!A:D, 3, FALSE) * VLOOKUP(B98, 'Price Data'!A:D, 4, FALSE) * C98, "")</f>
        <v/>
      </c>
    </row>
    <row r="99">
      <c r="A99" s="1" t="n">
        <v>45723</v>
      </c>
      <c r="B99" t="inlineStr">
        <is>
          <t>ING-105</t>
        </is>
      </c>
      <c r="C99" t="n">
        <v>1.5</v>
      </c>
      <c r="D99" t="inlineStr">
        <is>
          <t>Hot Hold</t>
        </is>
      </c>
      <c r="E99" t="inlineStr">
        <is>
          <t>Weak Maybe</t>
        </is>
      </c>
      <c r="F99" t="inlineStr">
        <is>
          <t>Temp. logs req. | Minimal Utility</t>
        </is>
      </c>
      <c r="G99" s="13">
        <f>IFERROR(VLOOKUP(B99, 'Price Data'!A:D, 3, FALSE) * VLOOKUP(B99, 'Price Data'!A:D, 4, FALSE) * C99, "")</f>
        <v/>
      </c>
    </row>
    <row r="100">
      <c r="A100" s="1" t="n">
        <v>45723</v>
      </c>
      <c r="B100" t="inlineStr">
        <is>
          <t>ING-060</t>
        </is>
      </c>
      <c r="C100" t="n">
        <v>1</v>
      </c>
      <c r="D100" t="inlineStr">
        <is>
          <t>Expiring</t>
        </is>
      </c>
      <c r="E100" t="inlineStr">
        <is>
          <t>Yes</t>
        </is>
      </c>
      <c r="F100" t="inlineStr">
        <is>
          <t>Freeze (rec)</t>
        </is>
      </c>
      <c r="G100" s="13">
        <f>IFERROR(VLOOKUP(B100, 'Price Data'!A:D, 3, FALSE) * VLOOKUP(B100, 'Price Data'!A:D, 4, FALSE) * C100, "")</f>
        <v/>
      </c>
    </row>
    <row r="101">
      <c r="A101" s="1" t="n">
        <v>45723</v>
      </c>
      <c r="B101" t="inlineStr">
        <is>
          <t>ING-120</t>
        </is>
      </c>
      <c r="C101" t="n">
        <v>1</v>
      </c>
      <c r="D101" t="inlineStr">
        <is>
          <t>Expiring</t>
        </is>
      </c>
      <c r="E101" t="inlineStr">
        <is>
          <t>Yes</t>
        </is>
      </c>
      <c r="F101" t="inlineStr">
        <is>
          <t>Freeze (req)</t>
        </is>
      </c>
      <c r="G101" s="13">
        <f>IFERROR(VLOOKUP(B101, 'Price Data'!A:D, 3, FALSE) * VLOOKUP(B101, 'Price Data'!A:D, 4, FALSE) * C101, "")</f>
        <v/>
      </c>
    </row>
    <row r="102">
      <c r="A102" s="1" t="n">
        <v>45723</v>
      </c>
      <c r="B102" t="inlineStr">
        <is>
          <t>ING-057</t>
        </is>
      </c>
      <c r="C102" t="n">
        <v>0.5</v>
      </c>
      <c r="D102" t="inlineStr">
        <is>
          <t>Expiring</t>
        </is>
      </c>
      <c r="E102" t="inlineStr">
        <is>
          <t>Weak Maybe</t>
        </is>
      </c>
      <c r="F102" t="inlineStr">
        <is>
          <t>Cut produce | No tamper-proof seal</t>
        </is>
      </c>
      <c r="G102" s="13">
        <f>IFERROR(VLOOKUP(B102, 'Price Data'!A:D, 3, FALSE) * VLOOKUP(B102, 'Price Data'!A:D, 4, FALSE) * C102, "")</f>
        <v/>
      </c>
    </row>
    <row r="103">
      <c r="A103" s="1" t="n">
        <v>45723</v>
      </c>
      <c r="B103" t="inlineStr">
        <is>
          <t>ING-148</t>
        </is>
      </c>
      <c r="C103" t="n">
        <v>1</v>
      </c>
      <c r="D103" t="inlineStr">
        <is>
          <t>Hot Hold</t>
        </is>
      </c>
      <c r="E103" t="inlineStr">
        <is>
          <t>Maybe</t>
        </is>
      </c>
      <c r="F103" t="inlineStr">
        <is>
          <t>Temp. logs req.</t>
        </is>
      </c>
      <c r="G103" s="13">
        <f>IFERROR(VLOOKUP(B103, 'Price Data'!A:D, 3, FALSE) * VLOOKUP(B103, 'Price Data'!A:D, 4, FALSE) * C103, "")</f>
        <v/>
      </c>
    </row>
    <row r="104">
      <c r="A104" s="1" t="n">
        <v>45723</v>
      </c>
      <c r="B104" t="inlineStr">
        <is>
          <t>ING-091</t>
        </is>
      </c>
      <c r="C104" t="n">
        <v>2</v>
      </c>
      <c r="D104" t="inlineStr">
        <is>
          <t>Expiring</t>
        </is>
      </c>
      <c r="E104" t="inlineStr">
        <is>
          <t>Yes</t>
        </is>
      </c>
      <c r="F104" t="inlineStr">
        <is>
          <t>Freeze (req)</t>
        </is>
      </c>
      <c r="G104" s="13">
        <f>IFERROR(VLOOKUP(B104, 'Price Data'!A:D, 3, FALSE) * VLOOKUP(B104, 'Price Data'!A:D, 4, FALSE) * C104, "")</f>
        <v/>
      </c>
    </row>
    <row r="105">
      <c r="A105" s="1" t="n">
        <v>45723</v>
      </c>
      <c r="B105" t="inlineStr">
        <is>
          <t>ING-009</t>
        </is>
      </c>
      <c r="C105" t="n">
        <v>4</v>
      </c>
      <c r="D105" t="inlineStr">
        <is>
          <t>Expiring</t>
        </is>
      </c>
      <c r="E105" t="inlineStr">
        <is>
          <t>Yes</t>
        </is>
      </c>
      <c r="F105" t="inlineStr">
        <is>
          <t>As is</t>
        </is>
      </c>
      <c r="G105" s="13">
        <f>IFERROR(VLOOKUP(B105, 'Price Data'!A:D, 3, FALSE) * VLOOKUP(B105, 'Price Data'!A:D, 4, FALSE) * C105, "")</f>
        <v/>
      </c>
    </row>
    <row r="106">
      <c r="A106" s="1" t="n">
        <v>45723</v>
      </c>
      <c r="B106" t="inlineStr">
        <is>
          <t>ING-055</t>
        </is>
      </c>
      <c r="C106" t="n">
        <v>4</v>
      </c>
      <c r="D106" t="inlineStr">
        <is>
          <t>Expiring</t>
        </is>
      </c>
      <c r="E106" t="inlineStr">
        <is>
          <t>Yes</t>
        </is>
      </c>
      <c r="F106" t="inlineStr">
        <is>
          <t xml:space="preserve">Freeze (rec) </t>
        </is>
      </c>
      <c r="G106" s="13">
        <f>IFERROR(VLOOKUP(B106, 'Price Data'!A:D, 3, FALSE) * VLOOKUP(B106, 'Price Data'!A:D, 4, FALSE) * C106, "")</f>
        <v/>
      </c>
    </row>
    <row r="107">
      <c r="A107" s="1" t="n">
        <v>45723</v>
      </c>
      <c r="B107" t="inlineStr">
        <is>
          <t>ING-049</t>
        </is>
      </c>
      <c r="C107" t="n">
        <v>1</v>
      </c>
      <c r="D107" t="inlineStr">
        <is>
          <t>Hot Hold</t>
        </is>
      </c>
      <c r="E107" t="inlineStr">
        <is>
          <t>No</t>
        </is>
      </c>
      <c r="F107" t="inlineStr">
        <is>
          <t>Minimal Utility</t>
        </is>
      </c>
      <c r="G107" s="13">
        <f>IFERROR(VLOOKUP(B107, 'Price Data'!A:D, 3, FALSE) * VLOOKUP(B107, 'Price Data'!A:D, 4, FALSE) * C107, "")</f>
        <v/>
      </c>
    </row>
    <row r="108">
      <c r="A108" s="1" t="n">
        <v>45723</v>
      </c>
      <c r="B108" t="inlineStr">
        <is>
          <t>ING-004</t>
        </is>
      </c>
      <c r="C108" t="n">
        <v>1</v>
      </c>
      <c r="D108" t="inlineStr">
        <is>
          <t>Hot Hold</t>
        </is>
      </c>
      <c r="E108" t="inlineStr">
        <is>
          <t>No</t>
        </is>
      </c>
      <c r="F108" t="inlineStr">
        <is>
          <t>Minimal Utility</t>
        </is>
      </c>
      <c r="G108" s="13">
        <f>IFERROR(VLOOKUP(B108, 'Price Data'!A:D, 3, FALSE) * VLOOKUP(B108, 'Price Data'!A:D, 4, FALSE) * C108, "")</f>
        <v/>
      </c>
    </row>
    <row r="109">
      <c r="A109" s="1" t="n">
        <v>45723</v>
      </c>
      <c r="B109" t="inlineStr">
        <is>
          <t>ING-146</t>
        </is>
      </c>
      <c r="C109" t="n">
        <v>1</v>
      </c>
      <c r="D109" t="inlineStr">
        <is>
          <t>Hot Hold</t>
        </is>
      </c>
      <c r="E109" t="inlineStr">
        <is>
          <t>Weak Maybe</t>
        </is>
      </c>
      <c r="F109" t="inlineStr">
        <is>
          <t>Temp. logs req.</t>
        </is>
      </c>
      <c r="G109" s="13">
        <f>IFERROR(VLOOKUP(B109, 'Price Data'!A:D, 3, FALSE) * VLOOKUP(B109, 'Price Data'!A:D, 4, FALSE) * C109, "")</f>
        <v/>
      </c>
    </row>
    <row r="110">
      <c r="A110" s="1" t="n">
        <v>45723</v>
      </c>
      <c r="B110" t="inlineStr">
        <is>
          <t>ING-087</t>
        </is>
      </c>
      <c r="C110" t="n">
        <v>1</v>
      </c>
      <c r="D110" t="inlineStr">
        <is>
          <t>Expiring</t>
        </is>
      </c>
      <c r="E110" t="inlineStr">
        <is>
          <t>Maybe</t>
        </is>
      </c>
      <c r="F110" t="inlineStr">
        <is>
          <t>As is</t>
        </is>
      </c>
      <c r="G110" s="13">
        <f>IFERROR(VLOOKUP(B110, 'Price Data'!A:D, 3, FALSE) * VLOOKUP(B110, 'Price Data'!A:D, 4, FALSE) * C110, "")</f>
        <v/>
      </c>
    </row>
    <row r="111">
      <c r="A111" s="1" t="n">
        <v>45723</v>
      </c>
      <c r="B111" t="inlineStr">
        <is>
          <t>ING-016</t>
        </is>
      </c>
      <c r="C111" t="n">
        <v>3</v>
      </c>
      <c r="D111" t="inlineStr">
        <is>
          <t>Expiring</t>
        </is>
      </c>
      <c r="E111" t="inlineStr">
        <is>
          <t>Strong Maybe</t>
        </is>
      </c>
      <c r="F111" t="inlineStr">
        <is>
          <t>Freeze (req) | Seafood</t>
        </is>
      </c>
      <c r="G111" s="13">
        <f>IFERROR(VLOOKUP(B111, 'Price Data'!A:D, 3, FALSE) * VLOOKUP(B111, 'Price Data'!A:D, 4, FALSE) * C111, "")</f>
        <v/>
      </c>
    </row>
    <row r="112">
      <c r="A112" s="1" t="n">
        <v>45723</v>
      </c>
      <c r="B112" t="inlineStr">
        <is>
          <t>ING-041</t>
        </is>
      </c>
      <c r="C112" t="n">
        <v>1</v>
      </c>
      <c r="D112" t="inlineStr">
        <is>
          <t>Hot Hold</t>
        </is>
      </c>
      <c r="E112" t="inlineStr">
        <is>
          <t>Weak Maybe</t>
        </is>
      </c>
      <c r="F112" t="inlineStr">
        <is>
          <t>Temp. logs req.</t>
        </is>
      </c>
      <c r="G112" s="13">
        <f>IFERROR(VLOOKUP(B112, 'Price Data'!A:D, 3, FALSE) * VLOOKUP(B112, 'Price Data'!A:D, 4, FALSE) * C112, "")</f>
        <v/>
      </c>
    </row>
    <row r="113">
      <c r="A113" s="1" t="n">
        <v>45723</v>
      </c>
      <c r="B113" t="inlineStr">
        <is>
          <t>ING-004</t>
        </is>
      </c>
      <c r="C113" t="n">
        <v>0.5</v>
      </c>
      <c r="D113" t="inlineStr">
        <is>
          <t>Hot Hold</t>
        </is>
      </c>
      <c r="E113" t="inlineStr">
        <is>
          <t>No</t>
        </is>
      </c>
      <c r="F113" t="inlineStr">
        <is>
          <t>Minimal Utility</t>
        </is>
      </c>
      <c r="G113" s="13">
        <f>IFERROR(VLOOKUP(B113, 'Price Data'!A:D, 3, FALSE) * VLOOKUP(B113, 'Price Data'!A:D, 4, FALSE) * C113, "")</f>
        <v/>
      </c>
    </row>
    <row r="114">
      <c r="A114" s="1" t="n">
        <v>45723</v>
      </c>
      <c r="B114" t="inlineStr">
        <is>
          <t>ING-038</t>
        </is>
      </c>
      <c r="C114" t="n">
        <v>1</v>
      </c>
      <c r="D114" t="inlineStr">
        <is>
          <t>Expiring</t>
        </is>
      </c>
      <c r="E114" t="inlineStr">
        <is>
          <t>Weak Maybe</t>
        </is>
      </c>
      <c r="F114" t="inlineStr">
        <is>
          <t>Cut produce | No tamper-proof seal</t>
        </is>
      </c>
      <c r="G114" s="13">
        <f>IFERROR(VLOOKUP(B114, 'Price Data'!A:D, 3, FALSE) * VLOOKUP(B114, 'Price Data'!A:D, 4, FALSE) * C114, "")</f>
        <v/>
      </c>
    </row>
    <row r="115">
      <c r="A115" s="1" t="n">
        <v>45723</v>
      </c>
      <c r="B115" t="inlineStr">
        <is>
          <t>ING-152</t>
        </is>
      </c>
      <c r="C115" t="n">
        <v>1.5</v>
      </c>
      <c r="D115" t="inlineStr">
        <is>
          <t>Hot Hold</t>
        </is>
      </c>
      <c r="E115" t="inlineStr">
        <is>
          <t>Weak Maybe</t>
        </is>
      </c>
      <c r="F115" t="inlineStr">
        <is>
          <t>Temp. logs req.</t>
        </is>
      </c>
      <c r="G115" s="13">
        <f>IFERROR(VLOOKUP(B115, 'Price Data'!A:D, 3, FALSE) * VLOOKUP(B115, 'Price Data'!A:D, 4, FALSE) * C115, "")</f>
        <v/>
      </c>
    </row>
    <row r="116">
      <c r="A116" s="1" t="n">
        <v>45723</v>
      </c>
      <c r="B116" t="inlineStr">
        <is>
          <t>ING-048</t>
        </is>
      </c>
      <c r="C116" t="n">
        <v>1</v>
      </c>
      <c r="D116" t="inlineStr">
        <is>
          <t>Expiring</t>
        </is>
      </c>
      <c r="E116" t="inlineStr">
        <is>
          <t>Yes</t>
        </is>
      </c>
      <c r="F116" t="inlineStr">
        <is>
          <t>Freeze (req)</t>
        </is>
      </c>
      <c r="G116" s="13">
        <f>IFERROR(VLOOKUP(B116, 'Price Data'!A:D, 3, FALSE) * VLOOKUP(B116, 'Price Data'!A:D, 4, FALSE) * C116, "")</f>
        <v/>
      </c>
    </row>
    <row r="117">
      <c r="A117" s="1" t="n">
        <v>45723</v>
      </c>
      <c r="B117" t="inlineStr">
        <is>
          <t>ING-044</t>
        </is>
      </c>
      <c r="C117" t="n">
        <v>1.5</v>
      </c>
      <c r="D117" t="inlineStr">
        <is>
          <t>Expiring</t>
        </is>
      </c>
      <c r="E117" t="inlineStr">
        <is>
          <t>Yes</t>
        </is>
      </c>
      <c r="F117" t="inlineStr">
        <is>
          <t>As is</t>
        </is>
      </c>
      <c r="G117" s="13">
        <f>IFERROR(VLOOKUP(B117, 'Price Data'!A:D, 3, FALSE) * VLOOKUP(B117, 'Price Data'!A:D, 4, FALSE) * C117, "")</f>
        <v/>
      </c>
    </row>
    <row r="118">
      <c r="A118" s="1" t="n">
        <v>45723</v>
      </c>
      <c r="B118" t="inlineStr">
        <is>
          <t>ING-126</t>
        </is>
      </c>
      <c r="C118" t="n">
        <v>0.5</v>
      </c>
      <c r="D118" t="inlineStr">
        <is>
          <t>Expiring</t>
        </is>
      </c>
      <c r="E118" t="inlineStr">
        <is>
          <t>Strong Maybe</t>
        </is>
      </c>
      <c r="F118" t="inlineStr">
        <is>
          <t>Freeze (req) | Seafood</t>
        </is>
      </c>
      <c r="G118" s="13">
        <f>IFERROR(VLOOKUP(B118, 'Price Data'!A:D, 3, FALSE) * VLOOKUP(B118, 'Price Data'!A:D, 4, FALSE) * C118, "")</f>
        <v/>
      </c>
    </row>
    <row r="119">
      <c r="A119" s="1" t="n">
        <v>45726</v>
      </c>
      <c r="B119" t="inlineStr">
        <is>
          <t>ING-120</t>
        </is>
      </c>
      <c r="C119" t="n">
        <v>1</v>
      </c>
      <c r="D119" t="inlineStr">
        <is>
          <t>Expiring</t>
        </is>
      </c>
      <c r="E119" t="inlineStr">
        <is>
          <t>Yes</t>
        </is>
      </c>
      <c r="F119" t="inlineStr">
        <is>
          <t>Freeze (req)</t>
        </is>
      </c>
      <c r="G119" s="13">
        <f>IFERROR(VLOOKUP(B119, 'Price Data'!A:D, 3, FALSE) * VLOOKUP(B119, 'Price Data'!A:D, 4, FALSE) * C119, "")</f>
        <v/>
      </c>
    </row>
    <row r="120">
      <c r="A120" s="1" t="n">
        <v>45726</v>
      </c>
      <c r="B120" t="inlineStr">
        <is>
          <t>ING-049</t>
        </is>
      </c>
      <c r="C120" t="n">
        <v>3</v>
      </c>
      <c r="D120" t="inlineStr">
        <is>
          <t>Expiring</t>
        </is>
      </c>
      <c r="E120" t="inlineStr">
        <is>
          <t>No</t>
        </is>
      </c>
      <c r="F120" t="inlineStr">
        <is>
          <t>Minimal Utility</t>
        </is>
      </c>
      <c r="G120" s="13">
        <f>IFERROR(VLOOKUP(B120, 'Price Data'!A:D, 3, FALSE) * VLOOKUP(B120, 'Price Data'!A:D, 4, FALSE) * C120, "")</f>
        <v/>
      </c>
    </row>
    <row r="121">
      <c r="A121" s="1" t="n">
        <v>45726</v>
      </c>
      <c r="B121" t="inlineStr">
        <is>
          <t>ING-048</t>
        </is>
      </c>
      <c r="C121" t="n">
        <v>0.5</v>
      </c>
      <c r="D121" t="inlineStr">
        <is>
          <t>Expiring</t>
        </is>
      </c>
      <c r="E121" t="inlineStr">
        <is>
          <t>No</t>
        </is>
      </c>
      <c r="F121" t="inlineStr">
        <is>
          <t>No tamper-proof seal</t>
        </is>
      </c>
      <c r="G121" s="13">
        <f>IFERROR(VLOOKUP(B121, 'Price Data'!A:D, 3, FALSE) * VLOOKUP(B121, 'Price Data'!A:D, 4, FALSE) * C121, "")</f>
        <v/>
      </c>
    </row>
    <row r="122">
      <c r="A122" s="1" t="n">
        <v>45726</v>
      </c>
      <c r="B122" t="inlineStr">
        <is>
          <t>ING-185</t>
        </is>
      </c>
      <c r="C122" t="n">
        <v>0.5</v>
      </c>
      <c r="D122" t="inlineStr">
        <is>
          <t>Expiring</t>
        </is>
      </c>
      <c r="E122" t="inlineStr">
        <is>
          <t>Maybe</t>
        </is>
      </c>
      <c r="F122" t="inlineStr">
        <is>
          <t>No tamper-proof seal, Freeze (req)</t>
        </is>
      </c>
      <c r="G122" s="13">
        <f>IFERROR(VLOOKUP(B122, 'Price Data'!A:D, 3, FALSE) * VLOOKUP(B122, 'Price Data'!A:D, 4, FALSE) * C122, "")</f>
        <v/>
      </c>
    </row>
    <row r="123">
      <c r="A123" s="1" t="n">
        <v>45726</v>
      </c>
      <c r="B123" t="inlineStr">
        <is>
          <t>ING-061</t>
        </is>
      </c>
      <c r="C123" t="n">
        <v>0.5</v>
      </c>
      <c r="D123" t="inlineStr">
        <is>
          <t>Expiring</t>
        </is>
      </c>
      <c r="E123" t="inlineStr">
        <is>
          <t>Maybe</t>
        </is>
      </c>
      <c r="F123" s="2" t="inlineStr">
        <is>
          <t>Temp. logs req.</t>
        </is>
      </c>
      <c r="G123" s="13">
        <f>IFERROR(VLOOKUP(B123, 'Price Data'!A:D, 3, FALSE) * VLOOKUP(B123, 'Price Data'!A:D, 4, FALSE) * C123, "")</f>
        <v/>
      </c>
    </row>
    <row r="124">
      <c r="A124" s="1" t="n">
        <v>45726</v>
      </c>
      <c r="B124" t="inlineStr">
        <is>
          <t>ING-157</t>
        </is>
      </c>
      <c r="C124" t="n">
        <v>9.5</v>
      </c>
      <c r="D124" t="inlineStr">
        <is>
          <t>Hot Hold</t>
        </is>
      </c>
      <c r="E124" t="inlineStr">
        <is>
          <t>Maybe</t>
        </is>
      </c>
      <c r="F124" t="inlineStr">
        <is>
          <t>Temp. logs req.</t>
        </is>
      </c>
      <c r="G124" s="13">
        <f>IFERROR(VLOOKUP(B124, 'Price Data'!A:D, 3, FALSE) * VLOOKUP(B124, 'Price Data'!A:D, 4, FALSE) * C124, "")</f>
        <v/>
      </c>
    </row>
    <row r="125">
      <c r="A125" s="1" t="n">
        <v>45726</v>
      </c>
      <c r="B125" t="inlineStr">
        <is>
          <t>ING-035</t>
        </is>
      </c>
      <c r="C125" t="n">
        <v>13.5</v>
      </c>
      <c r="D125" t="inlineStr">
        <is>
          <t>Expiring</t>
        </is>
      </c>
      <c r="E125" t="inlineStr">
        <is>
          <t>Weak Maybe</t>
        </is>
      </c>
      <c r="F125" t="inlineStr">
        <is>
          <t>No tamper-proof seal</t>
        </is>
      </c>
      <c r="G125" s="13">
        <f>IFERROR(VLOOKUP(B125, 'Price Data'!A:D, 3, FALSE) * VLOOKUP(B125, 'Price Data'!A:D, 4, FALSE) * C125, "")</f>
        <v/>
      </c>
    </row>
    <row r="126">
      <c r="A126" s="1" t="n">
        <v>45726</v>
      </c>
      <c r="B126" t="inlineStr">
        <is>
          <t>ING-148</t>
        </is>
      </c>
      <c r="C126" t="n">
        <v>1</v>
      </c>
      <c r="D126" t="inlineStr">
        <is>
          <t>Hot Hold</t>
        </is>
      </c>
      <c r="E126" t="inlineStr">
        <is>
          <t>Maybe</t>
        </is>
      </c>
      <c r="F126" s="2" t="inlineStr">
        <is>
          <t>Temp. logs req.</t>
        </is>
      </c>
      <c r="G126" s="13">
        <f>IFERROR(VLOOKUP(B126, 'Price Data'!A:D, 3, FALSE) * VLOOKUP(B126, 'Price Data'!A:D, 4, FALSE) * C126, "")</f>
        <v/>
      </c>
    </row>
    <row r="127">
      <c r="A127" s="1" t="n">
        <v>45726</v>
      </c>
      <c r="B127" t="inlineStr">
        <is>
          <t>ING-076</t>
        </is>
      </c>
      <c r="C127" t="n">
        <v>1</v>
      </c>
      <c r="D127" t="inlineStr">
        <is>
          <t>Hot Hold</t>
        </is>
      </c>
      <c r="E127" t="inlineStr">
        <is>
          <t>Weak Maybe</t>
        </is>
      </c>
      <c r="F127" t="inlineStr">
        <is>
          <t>Temp. logs req.</t>
        </is>
      </c>
      <c r="G127" s="13">
        <f>IFERROR(VLOOKUP(B127, 'Price Data'!A:D, 3, FALSE) * VLOOKUP(B127, 'Price Data'!A:D, 4, FALSE) * C127, "")</f>
        <v/>
      </c>
    </row>
    <row r="128">
      <c r="A128" s="1" t="n">
        <v>45726</v>
      </c>
      <c r="B128" t="inlineStr">
        <is>
          <t>ING-156</t>
        </is>
      </c>
      <c r="C128" t="n">
        <v>2</v>
      </c>
      <c r="D128" t="inlineStr">
        <is>
          <t>Expiring</t>
        </is>
      </c>
      <c r="E128" t="inlineStr">
        <is>
          <t>Yes</t>
        </is>
      </c>
      <c r="F128" t="inlineStr">
        <is>
          <t>As is</t>
        </is>
      </c>
      <c r="G128" s="13">
        <f>IFERROR(VLOOKUP(B128, 'Price Data'!A:D, 3, FALSE) * VLOOKUP(B128, 'Price Data'!A:D, 4, FALSE) * C128, "")</f>
        <v/>
      </c>
    </row>
    <row r="129">
      <c r="A129" s="1" t="n">
        <v>45726</v>
      </c>
      <c r="B129" t="inlineStr">
        <is>
          <t>ING-065</t>
        </is>
      </c>
      <c r="C129" t="n">
        <v>1</v>
      </c>
      <c r="D129" t="inlineStr">
        <is>
          <t>Expiring</t>
        </is>
      </c>
      <c r="E129" t="inlineStr">
        <is>
          <t>Yes</t>
        </is>
      </c>
      <c r="F129" t="inlineStr">
        <is>
          <t>Freeze (req)</t>
        </is>
      </c>
      <c r="G129" s="13">
        <f>IFERROR(VLOOKUP(B129, 'Price Data'!A:D, 3, FALSE) * VLOOKUP(B129, 'Price Data'!A:D, 4, FALSE) * C129, "")</f>
        <v/>
      </c>
    </row>
    <row r="130">
      <c r="A130" s="1" t="n">
        <v>45726</v>
      </c>
      <c r="B130" t="inlineStr">
        <is>
          <t>ING-093</t>
        </is>
      </c>
      <c r="C130" t="n">
        <v>0.5</v>
      </c>
      <c r="D130" t="inlineStr">
        <is>
          <t>Expiring</t>
        </is>
      </c>
      <c r="E130" t="inlineStr">
        <is>
          <t>Yes</t>
        </is>
      </c>
      <c r="F130" s="2" t="inlineStr">
        <is>
          <t>Freeze (req)</t>
        </is>
      </c>
      <c r="G130" s="13">
        <f>IFERROR(VLOOKUP(B130, 'Price Data'!A:D, 3, FALSE) * VLOOKUP(B130, 'Price Data'!A:D, 4, FALSE) * C130, "")</f>
        <v/>
      </c>
    </row>
    <row r="131">
      <c r="A131" s="1" t="n">
        <v>45726</v>
      </c>
      <c r="B131" t="inlineStr">
        <is>
          <t>ING-045</t>
        </is>
      </c>
      <c r="C131" t="n">
        <v>1.5</v>
      </c>
      <c r="D131" t="inlineStr">
        <is>
          <t>Expiring</t>
        </is>
      </c>
      <c r="E131" t="inlineStr">
        <is>
          <t>Strong Maybe</t>
        </is>
      </c>
      <c r="F131" t="inlineStr">
        <is>
          <t>Cut produce | As is</t>
        </is>
      </c>
      <c r="G131" s="13">
        <f>IFERROR(VLOOKUP(B131, 'Price Data'!A:D, 3, FALSE) * VLOOKUP(B131, 'Price Data'!A:D, 4, FALSE) * C131, "")</f>
        <v/>
      </c>
    </row>
    <row r="132">
      <c r="A132" s="1" t="n">
        <v>45726</v>
      </c>
      <c r="B132" t="inlineStr">
        <is>
          <t>ING-076</t>
        </is>
      </c>
      <c r="C132" t="n">
        <v>1.5</v>
      </c>
      <c r="D132" t="inlineStr">
        <is>
          <t>Hot Hold</t>
        </is>
      </c>
      <c r="E132" t="inlineStr">
        <is>
          <t>Weak Maybe</t>
        </is>
      </c>
      <c r="F132" t="inlineStr">
        <is>
          <t>Temp. logs req.</t>
        </is>
      </c>
      <c r="G132" s="13">
        <f>IFERROR(VLOOKUP(B132, 'Price Data'!A:D, 3, FALSE) * VLOOKUP(B132, 'Price Data'!A:D, 4, FALSE) * C132, "")</f>
        <v/>
      </c>
    </row>
    <row r="133">
      <c r="A133" s="1" t="n">
        <v>45726</v>
      </c>
      <c r="B133" t="inlineStr">
        <is>
          <t>ING-168</t>
        </is>
      </c>
      <c r="C133" t="n">
        <v>2.5</v>
      </c>
      <c r="D133" t="inlineStr">
        <is>
          <t>Expiring</t>
        </is>
      </c>
      <c r="E133" t="inlineStr">
        <is>
          <t>Maybe</t>
        </is>
      </c>
      <c r="F133" t="inlineStr">
        <is>
          <t>As is | Minimal Utility</t>
        </is>
      </c>
      <c r="G133" s="13">
        <f>IFERROR(VLOOKUP(B133, 'Price Data'!A:D, 3, FALSE) * VLOOKUP(B133, 'Price Data'!A:D, 4, FALSE) * C133, "")</f>
        <v/>
      </c>
    </row>
    <row r="134">
      <c r="A134" s="1" t="n">
        <v>45726</v>
      </c>
      <c r="B134" t="inlineStr">
        <is>
          <t>ING-072</t>
        </is>
      </c>
      <c r="C134" t="n">
        <v>1</v>
      </c>
      <c r="D134" t="inlineStr">
        <is>
          <t>Hot Hold</t>
        </is>
      </c>
      <c r="E134" t="inlineStr">
        <is>
          <t>Maybe</t>
        </is>
      </c>
      <c r="F134" t="inlineStr">
        <is>
          <t>Temp. logs req.</t>
        </is>
      </c>
      <c r="G134" s="13">
        <f>IFERROR(VLOOKUP(B134, 'Price Data'!A:D, 3, FALSE) * VLOOKUP(B134, 'Price Data'!A:D, 4, FALSE) * C134, "")</f>
        <v/>
      </c>
    </row>
    <row r="135">
      <c r="A135" s="1" t="n">
        <v>45726</v>
      </c>
      <c r="B135" t="inlineStr">
        <is>
          <t>ING-148</t>
        </is>
      </c>
      <c r="C135" t="n">
        <v>1.5</v>
      </c>
      <c r="D135" t="inlineStr">
        <is>
          <t>Hot Hold</t>
        </is>
      </c>
      <c r="E135" t="inlineStr">
        <is>
          <t>Maybe</t>
        </is>
      </c>
      <c r="F135" t="inlineStr">
        <is>
          <t>Temp. logs req.</t>
        </is>
      </c>
      <c r="G135" s="13">
        <f>IFERROR(VLOOKUP(B135, 'Price Data'!A:D, 3, FALSE) * VLOOKUP(B135, 'Price Data'!A:D, 4, FALSE) * C135, "")</f>
        <v/>
      </c>
    </row>
    <row r="136">
      <c r="A136" s="1" t="n">
        <v>45726</v>
      </c>
      <c r="B136" t="inlineStr">
        <is>
          <t>ING-149</t>
        </is>
      </c>
      <c r="C136" t="n">
        <v>1.5</v>
      </c>
      <c r="D136" t="inlineStr">
        <is>
          <t>Expiring</t>
        </is>
      </c>
      <c r="E136" t="inlineStr">
        <is>
          <t>Strong Maybe</t>
        </is>
      </c>
      <c r="F136" t="inlineStr">
        <is>
          <t>Freeze (rec)</t>
        </is>
      </c>
      <c r="G136" s="13">
        <f>IFERROR(VLOOKUP(B136, 'Price Data'!A:D, 3, FALSE) * VLOOKUP(B136, 'Price Data'!A:D, 4, FALSE) * C136, "")</f>
        <v/>
      </c>
    </row>
    <row r="137">
      <c r="A137" s="1" t="n">
        <v>45726</v>
      </c>
      <c r="B137" t="inlineStr">
        <is>
          <t>ING-092</t>
        </is>
      </c>
      <c r="C137" t="n">
        <v>0.5</v>
      </c>
      <c r="D137" t="inlineStr">
        <is>
          <t>Expiring</t>
        </is>
      </c>
      <c r="E137" t="inlineStr">
        <is>
          <t>No</t>
        </is>
      </c>
      <c r="F137" t="inlineStr">
        <is>
          <t>No tamper-proof seal | Minimal Utility</t>
        </is>
      </c>
      <c r="G137" s="13">
        <f>IFERROR(VLOOKUP(B137, 'Price Data'!A:D, 3, FALSE) * VLOOKUP(B137, 'Price Data'!A:D, 4, FALSE) * C137, "")</f>
        <v/>
      </c>
    </row>
    <row r="138">
      <c r="A138" s="1" t="n">
        <v>45726</v>
      </c>
      <c r="B138" t="inlineStr">
        <is>
          <t>ING-177</t>
        </is>
      </c>
      <c r="C138" t="n">
        <v>1.5</v>
      </c>
      <c r="D138" t="inlineStr">
        <is>
          <t>Expiring</t>
        </is>
      </c>
      <c r="E138" t="inlineStr">
        <is>
          <t>Strong Maybe</t>
        </is>
      </c>
      <c r="F138" t="inlineStr">
        <is>
          <t>Freeze (rec)</t>
        </is>
      </c>
      <c r="G138" s="13">
        <f>IFERROR(VLOOKUP(B138, 'Price Data'!A:D, 3, FALSE) * VLOOKUP(B138, 'Price Data'!A:D, 4, FALSE) * C138, "")</f>
        <v/>
      </c>
    </row>
    <row r="139">
      <c r="A139" s="1" t="n">
        <v>45726</v>
      </c>
      <c r="B139" t="inlineStr">
        <is>
          <t>ING-071</t>
        </is>
      </c>
      <c r="C139" t="n">
        <v>1</v>
      </c>
      <c r="D139" t="inlineStr">
        <is>
          <t>Expiring</t>
        </is>
      </c>
      <c r="E139" t="inlineStr">
        <is>
          <t>Maybe</t>
        </is>
      </c>
      <c r="F139" t="inlineStr">
        <is>
          <t>No tamper-proof seal</t>
        </is>
      </c>
      <c r="G139" s="13">
        <f>IFERROR(VLOOKUP(B139, 'Price Data'!A:D, 3, FALSE) * VLOOKUP(B139, 'Price Data'!A:D, 4, FALSE) * C139, "")</f>
        <v/>
      </c>
    </row>
    <row r="140">
      <c r="A140" s="1" t="n">
        <v>45726</v>
      </c>
      <c r="B140" t="inlineStr">
        <is>
          <t>ING-028</t>
        </is>
      </c>
      <c r="C140" t="n">
        <v>1</v>
      </c>
      <c r="D140" t="inlineStr">
        <is>
          <t>Hot Hold</t>
        </is>
      </c>
      <c r="E140" t="inlineStr">
        <is>
          <t>No</t>
        </is>
      </c>
      <c r="F140" s="2" t="inlineStr">
        <is>
          <t>No Date | Temp. logs req.</t>
        </is>
      </c>
      <c r="G140" s="13">
        <f>IFERROR(VLOOKUP(B140, 'Price Data'!A:D, 3, FALSE) * VLOOKUP(B140, 'Price Data'!A:D, 4, FALSE) * C140, "")</f>
        <v/>
      </c>
    </row>
    <row r="141">
      <c r="A141" s="1" t="n">
        <v>45726</v>
      </c>
      <c r="B141" t="inlineStr">
        <is>
          <t>ING-045</t>
        </is>
      </c>
      <c r="C141" t="n">
        <v>10</v>
      </c>
      <c r="D141" t="inlineStr">
        <is>
          <t>Expiring</t>
        </is>
      </c>
      <c r="E141" t="inlineStr">
        <is>
          <t>Strong Maybe</t>
        </is>
      </c>
      <c r="F141" t="inlineStr">
        <is>
          <t>Cut produce | As is</t>
        </is>
      </c>
      <c r="G141" s="13">
        <f>IFERROR(VLOOKUP(B141, 'Price Data'!A:D, 3, FALSE) * VLOOKUP(B141, 'Price Data'!A:D, 4, FALSE) * C141, "")</f>
        <v/>
      </c>
    </row>
    <row r="142">
      <c r="A142" s="1" t="n">
        <v>45726</v>
      </c>
      <c r="B142" t="inlineStr">
        <is>
          <t>ING-126</t>
        </is>
      </c>
      <c r="C142" t="n">
        <v>1</v>
      </c>
      <c r="D142" t="inlineStr">
        <is>
          <t>Expiring</t>
        </is>
      </c>
      <c r="E142" t="inlineStr">
        <is>
          <t>Strong Maybe</t>
        </is>
      </c>
      <c r="F142" t="inlineStr">
        <is>
          <t>Freeze (req) | Seafood</t>
        </is>
      </c>
      <c r="G142" s="13">
        <f>IFERROR(VLOOKUP(B142, 'Price Data'!A:D, 3, FALSE) * VLOOKUP(B142, 'Price Data'!A:D, 4, FALSE) * C142, "")</f>
        <v/>
      </c>
    </row>
    <row r="143">
      <c r="A143" s="1" t="n">
        <v>45726</v>
      </c>
      <c r="B143" t="inlineStr">
        <is>
          <t>ING-064</t>
        </is>
      </c>
      <c r="C143" t="n">
        <v>3.5</v>
      </c>
      <c r="D143" t="inlineStr">
        <is>
          <t>Expiring</t>
        </is>
      </c>
      <c r="E143" t="inlineStr">
        <is>
          <t>No</t>
        </is>
      </c>
      <c r="F143" t="inlineStr">
        <is>
          <t>Minimal Utility</t>
        </is>
      </c>
      <c r="G143" s="13">
        <f>IFERROR(VLOOKUP(B143, 'Price Data'!A:D, 3, FALSE) * VLOOKUP(B143, 'Price Data'!A:D, 4, FALSE) * C143, "")</f>
        <v/>
      </c>
    </row>
    <row r="144">
      <c r="A144" s="1" t="n">
        <v>45726</v>
      </c>
      <c r="B144" t="inlineStr">
        <is>
          <t>ING-041</t>
        </is>
      </c>
      <c r="C144" t="n">
        <v>1</v>
      </c>
      <c r="D144" t="inlineStr">
        <is>
          <t>Hot Hold</t>
        </is>
      </c>
      <c r="E144" t="inlineStr">
        <is>
          <t>Weak Maybe</t>
        </is>
      </c>
      <c r="F144" t="inlineStr">
        <is>
          <t>Temp. logs req.</t>
        </is>
      </c>
      <c r="G144" s="13">
        <f>IFERROR(VLOOKUP(B144, 'Price Data'!A:D, 3, FALSE) * VLOOKUP(B144, 'Price Data'!A:D, 4, FALSE) * C144, "")</f>
        <v/>
      </c>
    </row>
    <row r="145">
      <c r="A145" s="1" t="n">
        <v>45726</v>
      </c>
      <c r="B145" t="inlineStr">
        <is>
          <t>ING-016</t>
        </is>
      </c>
      <c r="C145" t="n">
        <v>2.5</v>
      </c>
      <c r="D145" t="inlineStr">
        <is>
          <t>Expiring</t>
        </is>
      </c>
      <c r="E145" t="inlineStr">
        <is>
          <t>Strong Maybe</t>
        </is>
      </c>
      <c r="F145" s="2" t="inlineStr">
        <is>
          <t>Freeze (req) | Seafood</t>
        </is>
      </c>
      <c r="G145" s="13">
        <f>IFERROR(VLOOKUP(B145, 'Price Data'!A:D, 3, FALSE) * VLOOKUP(B145, 'Price Data'!A:D, 4, FALSE) * C145, "")</f>
        <v/>
      </c>
    </row>
    <row r="146">
      <c r="A146" s="1" t="n">
        <v>45726</v>
      </c>
      <c r="B146" t="inlineStr">
        <is>
          <t>ING-148</t>
        </is>
      </c>
      <c r="C146" t="n">
        <v>1</v>
      </c>
      <c r="D146" t="inlineStr">
        <is>
          <t>Hot Hold</t>
        </is>
      </c>
      <c r="E146" t="inlineStr">
        <is>
          <t>Maybe</t>
        </is>
      </c>
      <c r="F146" t="inlineStr">
        <is>
          <t>Temp. logs req.</t>
        </is>
      </c>
      <c r="G146" s="13">
        <f>IFERROR(VLOOKUP(B146, 'Price Data'!A:D, 3, FALSE) * VLOOKUP(B146, 'Price Data'!A:D, 4, FALSE) * C146, "")</f>
        <v/>
      </c>
    </row>
    <row r="147">
      <c r="A147" s="1" t="n">
        <v>45726</v>
      </c>
      <c r="B147" t="inlineStr">
        <is>
          <t>ING-107</t>
        </is>
      </c>
      <c r="C147" t="n">
        <v>2</v>
      </c>
      <c r="D147" t="inlineStr">
        <is>
          <t>Expiring</t>
        </is>
      </c>
      <c r="E147" t="inlineStr">
        <is>
          <t>Yes</t>
        </is>
      </c>
      <c r="F147" t="inlineStr">
        <is>
          <t>Freeze (req)</t>
        </is>
      </c>
      <c r="G147" s="13">
        <f>IFERROR(VLOOKUP(B147, 'Price Data'!A:D, 3, FALSE) * VLOOKUP(B147, 'Price Data'!A:D, 4, FALSE) * C147, "")</f>
        <v/>
      </c>
    </row>
    <row r="148">
      <c r="A148" s="1" t="n">
        <v>45726</v>
      </c>
      <c r="B148" t="inlineStr">
        <is>
          <t>ING-128</t>
        </is>
      </c>
      <c r="C148" t="n">
        <v>5</v>
      </c>
      <c r="D148" t="inlineStr">
        <is>
          <t>Expiring</t>
        </is>
      </c>
      <c r="E148" t="inlineStr">
        <is>
          <t>Weak Maybe</t>
        </is>
      </c>
      <c r="F148" t="inlineStr">
        <is>
          <t>Cut produce</t>
        </is>
      </c>
      <c r="G148" s="13">
        <f>IFERROR(VLOOKUP(B148, 'Price Data'!A:D, 3, FALSE) * VLOOKUP(B148, 'Price Data'!A:D, 4, FALSE) * C148, "")</f>
        <v/>
      </c>
    </row>
    <row r="149">
      <c r="A149" s="1" t="n">
        <v>45726</v>
      </c>
      <c r="B149" t="inlineStr">
        <is>
          <t>ING-046</t>
        </is>
      </c>
      <c r="C149" t="n">
        <v>1.5</v>
      </c>
      <c r="D149" t="inlineStr">
        <is>
          <t>Expiring</t>
        </is>
      </c>
      <c r="E149" t="inlineStr">
        <is>
          <t>Yes</t>
        </is>
      </c>
      <c r="F149" t="inlineStr">
        <is>
          <t>Freeze (req)</t>
        </is>
      </c>
      <c r="G149" s="13">
        <f>IFERROR(VLOOKUP(B149, 'Price Data'!A:D, 3, FALSE) * VLOOKUP(B149, 'Price Data'!A:D, 4, FALSE) * C149, "")</f>
        <v/>
      </c>
    </row>
    <row r="150">
      <c r="A150" s="1" t="n">
        <v>45726</v>
      </c>
      <c r="B150" s="2" t="inlineStr">
        <is>
          <t>ING-148</t>
        </is>
      </c>
      <c r="C150" t="n">
        <v>1.5</v>
      </c>
      <c r="D150" t="inlineStr">
        <is>
          <t>Hot Hold</t>
        </is>
      </c>
      <c r="E150" t="inlineStr">
        <is>
          <t>Maybe</t>
        </is>
      </c>
      <c r="F150" s="2" t="inlineStr">
        <is>
          <t>Temp. logs req.</t>
        </is>
      </c>
      <c r="G150" s="13">
        <f>IFERROR(VLOOKUP(B150, 'Price Data'!A:D, 3, FALSE) * VLOOKUP(B150, 'Price Data'!A:D, 4, FALSE) * C150, "")</f>
        <v/>
      </c>
    </row>
    <row r="151">
      <c r="A151" s="1" t="n">
        <v>45726</v>
      </c>
      <c r="B151" t="inlineStr">
        <is>
          <t>ING-060</t>
        </is>
      </c>
      <c r="C151" t="n">
        <v>0.5</v>
      </c>
      <c r="D151" t="inlineStr">
        <is>
          <t>Expiring</t>
        </is>
      </c>
      <c r="E151" t="inlineStr">
        <is>
          <t>No</t>
        </is>
      </c>
      <c r="F151" t="inlineStr">
        <is>
          <t>No tamper-proof seal</t>
        </is>
      </c>
      <c r="G151" s="13">
        <f>IFERROR(VLOOKUP(B151, 'Price Data'!A:D, 3, FALSE) * VLOOKUP(B151, 'Price Data'!A:D, 4, FALSE) * C151, "")</f>
        <v/>
      </c>
    </row>
    <row r="152">
      <c r="A152" s="1" t="n">
        <v>45726</v>
      </c>
      <c r="B152" t="inlineStr">
        <is>
          <t>ING-148</t>
        </is>
      </c>
      <c r="C152" t="n">
        <v>1</v>
      </c>
      <c r="D152" t="inlineStr">
        <is>
          <t>Hot Hold</t>
        </is>
      </c>
      <c r="E152" t="inlineStr">
        <is>
          <t>Maybe</t>
        </is>
      </c>
      <c r="F152" t="inlineStr">
        <is>
          <t>Temp. logs req.</t>
        </is>
      </c>
      <c r="G152" s="13">
        <f>IFERROR(VLOOKUP(B152, 'Price Data'!A:D, 3, FALSE) * VLOOKUP(B152, 'Price Data'!A:D, 4, FALSE) * C152, "")</f>
        <v/>
      </c>
    </row>
    <row r="153">
      <c r="A153" s="1" t="n">
        <v>45730</v>
      </c>
      <c r="B153" t="inlineStr">
        <is>
          <t>ING-066</t>
        </is>
      </c>
      <c r="C153" t="n">
        <v>0.5</v>
      </c>
      <c r="D153" t="inlineStr">
        <is>
          <t>DISCARDED</t>
        </is>
      </c>
      <c r="E153" t="inlineStr">
        <is>
          <t>No</t>
        </is>
      </c>
      <c r="F153" t="inlineStr">
        <is>
          <t>N/A</t>
        </is>
      </c>
      <c r="G153" s="13">
        <f>IFERROR(ROUND(VLOOKUP(B153, 'Price Data'!A:D, 3, FALSE) * VLOOKUP(B153, 'Price Data'!A:D, 4, FALSE) * C153, 2), "")</f>
        <v/>
      </c>
    </row>
    <row r="154">
      <c r="A154" s="1" t="n">
        <v>45730</v>
      </c>
      <c r="B154" t="inlineStr">
        <is>
          <t>ING-027</t>
        </is>
      </c>
      <c r="C154" t="n">
        <v>1.5</v>
      </c>
      <c r="D154" t="inlineStr">
        <is>
          <t>Expiring</t>
        </is>
      </c>
      <c r="E154" t="inlineStr">
        <is>
          <t>No</t>
        </is>
      </c>
      <c r="F154" t="inlineStr">
        <is>
          <t>Minimal Utility</t>
        </is>
      </c>
      <c r="G154" s="13">
        <f>IFERROR(VLOOKUP(B154, 'Price Data'!A:D, 3, FALSE) * VLOOKUP(B154, 'Price Data'!A:D, 4, FALSE) * C154, "")</f>
        <v/>
      </c>
    </row>
    <row r="155">
      <c r="A155" s="1" t="n">
        <v>45730</v>
      </c>
      <c r="B155" t="inlineStr">
        <is>
          <t>ING-015</t>
        </is>
      </c>
      <c r="C155" t="n">
        <v>0.5</v>
      </c>
      <c r="D155" t="inlineStr">
        <is>
          <t>Expiring</t>
        </is>
      </c>
      <c r="E155" t="inlineStr">
        <is>
          <t>No</t>
        </is>
      </c>
      <c r="F155" t="inlineStr">
        <is>
          <t>No tamper-proof seal</t>
        </is>
      </c>
      <c r="G155" s="13">
        <f>IFERROR(VLOOKUP(B155, 'Price Data'!A:D, 3, FALSE) * VLOOKUP(B155, 'Price Data'!A:D, 4, FALSE) * C155, "")</f>
        <v/>
      </c>
    </row>
    <row r="156">
      <c r="A156" s="1" t="n">
        <v>45730</v>
      </c>
      <c r="B156" t="inlineStr">
        <is>
          <t>ING-150</t>
        </is>
      </c>
      <c r="C156" t="n">
        <v>19</v>
      </c>
      <c r="D156" t="inlineStr">
        <is>
          <t>Expiring</t>
        </is>
      </c>
      <c r="E156" t="inlineStr">
        <is>
          <t>Yes</t>
        </is>
      </c>
      <c r="F156" t="inlineStr">
        <is>
          <t>Freeze (req)</t>
        </is>
      </c>
      <c r="G156" s="13">
        <f>IFERROR(VLOOKUP(B156, 'Price Data'!A:D, 3, FALSE) * VLOOKUP(B156, 'Price Data'!A:D, 4, FALSE) * C156, "")</f>
        <v/>
      </c>
    </row>
    <row r="157">
      <c r="A157" s="1" t="n">
        <v>45730</v>
      </c>
      <c r="B157" t="inlineStr">
        <is>
          <t>ING-159</t>
        </is>
      </c>
      <c r="C157" t="n">
        <v>1.5</v>
      </c>
      <c r="D157" t="inlineStr">
        <is>
          <t>Hot Hold</t>
        </is>
      </c>
      <c r="E157" t="inlineStr">
        <is>
          <t>Maybe</t>
        </is>
      </c>
      <c r="F157" s="2" t="inlineStr">
        <is>
          <t>Freeze (req)</t>
        </is>
      </c>
      <c r="G157" s="13">
        <f>IFERROR(VLOOKUP(B157, 'Price Data'!A:D, 3, FALSE) * VLOOKUP(B157, 'Price Data'!A:D, 4, FALSE) * C157, "")</f>
        <v/>
      </c>
    </row>
    <row r="158">
      <c r="A158" s="1" t="n">
        <v>45730</v>
      </c>
      <c r="B158" t="inlineStr">
        <is>
          <t>ING-076</t>
        </is>
      </c>
      <c r="C158" t="n">
        <v>2.5</v>
      </c>
      <c r="D158" t="inlineStr">
        <is>
          <t>Expiring</t>
        </is>
      </c>
      <c r="E158" t="inlineStr">
        <is>
          <t>Yes</t>
        </is>
      </c>
      <c r="F158" t="inlineStr">
        <is>
          <t>As is</t>
        </is>
      </c>
      <c r="G158" s="13">
        <f>IFERROR(VLOOKUP(B158, 'Price Data'!A:D, 3, FALSE) * VLOOKUP(B158, 'Price Data'!A:D, 4, FALSE) * C158, "")</f>
        <v/>
      </c>
    </row>
    <row r="159">
      <c r="A159" s="1" t="n">
        <v>45730</v>
      </c>
      <c r="B159" t="inlineStr">
        <is>
          <t>ING-028</t>
        </is>
      </c>
      <c r="C159" t="n">
        <v>7</v>
      </c>
      <c r="D159" t="inlineStr">
        <is>
          <t>Hot Hold</t>
        </is>
      </c>
      <c r="E159" t="inlineStr">
        <is>
          <t>No</t>
        </is>
      </c>
      <c r="F159" s="2" t="inlineStr">
        <is>
          <t>No Date | Temp. logs req.</t>
        </is>
      </c>
      <c r="G159" s="13">
        <f>IFERROR(VLOOKUP(B159, 'Price Data'!A:D, 3, FALSE) * VLOOKUP(B159, 'Price Data'!A:D, 4, FALSE) * C159, "")</f>
        <v/>
      </c>
    </row>
    <row r="160">
      <c r="A160" s="1" t="n">
        <v>45730</v>
      </c>
      <c r="B160" t="inlineStr">
        <is>
          <t>ING-157</t>
        </is>
      </c>
      <c r="C160" t="n">
        <v>20.5</v>
      </c>
      <c r="D160" t="inlineStr">
        <is>
          <t>Expiring</t>
        </is>
      </c>
      <c r="E160" t="inlineStr">
        <is>
          <t>Yes</t>
        </is>
      </c>
      <c r="F160" t="inlineStr">
        <is>
          <t>As is</t>
        </is>
      </c>
      <c r="G160" s="13">
        <f>IFERROR(VLOOKUP(B160, 'Price Data'!A:D, 3, FALSE) * VLOOKUP(B160, 'Price Data'!A:D, 4, FALSE) * C160, "")</f>
        <v/>
      </c>
    </row>
    <row r="161">
      <c r="A161" s="1" t="n">
        <v>45730</v>
      </c>
      <c r="B161" t="inlineStr">
        <is>
          <t>ING-152</t>
        </is>
      </c>
      <c r="C161" t="n">
        <v>1</v>
      </c>
      <c r="D161" t="inlineStr">
        <is>
          <t>Hot Hold</t>
        </is>
      </c>
      <c r="E161" t="inlineStr">
        <is>
          <t>Weak Maybe</t>
        </is>
      </c>
      <c r="F161" t="inlineStr">
        <is>
          <t>Temp. logs req.</t>
        </is>
      </c>
      <c r="G161" s="13">
        <f>IFERROR(VLOOKUP(B161, 'Price Data'!A:D, 3, FALSE) * VLOOKUP(B161, 'Price Data'!A:D, 4, FALSE) * C161, "")</f>
        <v/>
      </c>
    </row>
    <row r="162">
      <c r="A162" s="1" t="n">
        <v>45730</v>
      </c>
      <c r="B162" t="inlineStr">
        <is>
          <t>ING-072</t>
        </is>
      </c>
      <c r="C162" t="n">
        <v>1</v>
      </c>
      <c r="D162" t="inlineStr">
        <is>
          <t>Hot Hold</t>
        </is>
      </c>
      <c r="E162" t="inlineStr">
        <is>
          <t>Maybe</t>
        </is>
      </c>
      <c r="F162" t="inlineStr">
        <is>
          <t>Freeze (req)</t>
        </is>
      </c>
      <c r="G162" s="13">
        <f>IFERROR(VLOOKUP(B162, 'Price Data'!A:D, 3, FALSE) * VLOOKUP(B162, 'Price Data'!A:D, 4, FALSE) * C162, "")</f>
        <v/>
      </c>
    </row>
    <row r="163">
      <c r="A163" s="1" t="n">
        <v>45730</v>
      </c>
      <c r="B163" t="inlineStr">
        <is>
          <t>ING-146</t>
        </is>
      </c>
      <c r="C163" t="n">
        <v>1</v>
      </c>
      <c r="D163" t="inlineStr">
        <is>
          <t>Hot Hold</t>
        </is>
      </c>
      <c r="E163" t="inlineStr">
        <is>
          <t>Weak Maybe</t>
        </is>
      </c>
      <c r="F163" t="inlineStr">
        <is>
          <t>Temp. logs req.</t>
        </is>
      </c>
      <c r="G163" s="13">
        <f>IFERROR(VLOOKUP(B163, 'Price Data'!A:D, 3, FALSE) * VLOOKUP(B163, 'Price Data'!A:D, 4, FALSE) * C163, "")</f>
        <v/>
      </c>
    </row>
    <row r="164">
      <c r="A164" s="1" t="n">
        <v>45730</v>
      </c>
      <c r="B164" t="inlineStr">
        <is>
          <t>ING-016</t>
        </is>
      </c>
      <c r="C164" t="n">
        <v>2.5</v>
      </c>
      <c r="D164" t="inlineStr">
        <is>
          <t>Expiring</t>
        </is>
      </c>
      <c r="E164" t="inlineStr">
        <is>
          <t>Strong Maybe</t>
        </is>
      </c>
      <c r="F164" t="inlineStr">
        <is>
          <t>Freeze (req) | Seafood</t>
        </is>
      </c>
      <c r="G164" s="13">
        <f>IFERROR(VLOOKUP(B164, 'Price Data'!A:D, 3, FALSE) * VLOOKUP(B164, 'Price Data'!A:D, 4, FALSE) * C164, "")</f>
        <v/>
      </c>
    </row>
    <row r="165">
      <c r="A165" s="1" t="n">
        <v>45730</v>
      </c>
      <c r="B165" t="inlineStr">
        <is>
          <t>ING-100</t>
        </is>
      </c>
      <c r="C165" t="n">
        <v>1.5</v>
      </c>
      <c r="D165" t="inlineStr">
        <is>
          <t>Expiring</t>
        </is>
      </c>
      <c r="E165" t="inlineStr">
        <is>
          <t>Weak Maybe</t>
        </is>
      </c>
      <c r="F165" t="inlineStr">
        <is>
          <t>As is</t>
        </is>
      </c>
      <c r="G165" s="13">
        <f>IFERROR(VLOOKUP(B165, 'Price Data'!A:D, 3, FALSE) * VLOOKUP(B165, 'Price Data'!A:D, 4, FALSE) * C165, "")</f>
        <v/>
      </c>
    </row>
    <row r="166">
      <c r="A166" s="3" t="n">
        <v>45730</v>
      </c>
      <c r="B166" t="inlineStr">
        <is>
          <t>ING-157</t>
        </is>
      </c>
      <c r="C166" t="n">
        <v>2</v>
      </c>
      <c r="D166" t="inlineStr">
        <is>
          <t>Hot Hold</t>
        </is>
      </c>
      <c r="E166" t="inlineStr">
        <is>
          <t>Weak Maybe</t>
        </is>
      </c>
      <c r="F166" t="inlineStr">
        <is>
          <t>Temp. logs req.</t>
        </is>
      </c>
      <c r="G166" s="13">
        <f>IFERROR(VLOOKUP(B166, 'Price Data'!A:D, 3, FALSE) * VLOOKUP(B166, 'Price Data'!A:D, 4, FALSE) * C166, "")</f>
        <v/>
      </c>
    </row>
    <row r="167">
      <c r="A167" s="3" t="n">
        <v>45730</v>
      </c>
      <c r="B167" t="inlineStr">
        <is>
          <t>ING-102</t>
        </is>
      </c>
      <c r="C167" t="n">
        <v>1</v>
      </c>
      <c r="D167" t="inlineStr">
        <is>
          <t>Expiring</t>
        </is>
      </c>
      <c r="E167" t="inlineStr">
        <is>
          <t>Weak Maybe</t>
        </is>
      </c>
      <c r="F167" s="2" t="inlineStr">
        <is>
          <t>No tamper-proof seal</t>
        </is>
      </c>
      <c r="G167" s="13">
        <f>IFERROR(VLOOKUP(B167, 'Price Data'!A:D, 3, FALSE) * VLOOKUP(B167, 'Price Data'!A:D, 4, FALSE) * C167, "")</f>
        <v/>
      </c>
    </row>
    <row r="168">
      <c r="A168" s="3" t="n">
        <v>45730</v>
      </c>
      <c r="B168" t="inlineStr">
        <is>
          <t>ING-107</t>
        </is>
      </c>
      <c r="C168" t="n">
        <v>4</v>
      </c>
      <c r="D168" t="inlineStr">
        <is>
          <t>Expiring</t>
        </is>
      </c>
      <c r="E168" t="inlineStr">
        <is>
          <t>Yes</t>
        </is>
      </c>
      <c r="F168" t="inlineStr">
        <is>
          <t>Freeze (req)</t>
        </is>
      </c>
      <c r="G168" s="13">
        <f>IFERROR(VLOOKUP(B168, 'Price Data'!A:D, 3, FALSE) * VLOOKUP(B168, 'Price Data'!A:D, 4, FALSE) * C168, "")</f>
        <v/>
      </c>
    </row>
    <row r="169">
      <c r="A169" s="3" t="n">
        <v>45730</v>
      </c>
      <c r="B169" t="inlineStr">
        <is>
          <t>ING-112</t>
        </is>
      </c>
      <c r="C169" t="n">
        <v>0.5</v>
      </c>
      <c r="D169" t="inlineStr">
        <is>
          <t>Expiring</t>
        </is>
      </c>
      <c r="E169" t="inlineStr">
        <is>
          <t>No</t>
        </is>
      </c>
      <c r="F169" s="2" t="inlineStr">
        <is>
          <t>No tamper-proof seal</t>
        </is>
      </c>
      <c r="G169" s="13">
        <f>IFERROR(VLOOKUP(B169, 'Price Data'!A:D, 3, FALSE) * VLOOKUP(B169, 'Price Data'!A:D, 4, FALSE) * C169, "")</f>
        <v/>
      </c>
    </row>
    <row r="170">
      <c r="A170" s="3" t="n">
        <v>45730</v>
      </c>
      <c r="B170" t="inlineStr">
        <is>
          <t>ING-135</t>
        </is>
      </c>
      <c r="C170" t="n">
        <v>1</v>
      </c>
      <c r="D170" t="inlineStr">
        <is>
          <t>DISCARDED</t>
        </is>
      </c>
      <c r="E170" t="inlineStr">
        <is>
          <t>No</t>
        </is>
      </c>
      <c r="F170" t="inlineStr">
        <is>
          <t>N/A</t>
        </is>
      </c>
      <c r="G170" s="13">
        <f>IFERROR(VLOOKUP(B170, 'Price Data'!A:D, 3, FALSE) * VLOOKUP(B170, 'Price Data'!A:D, 4, FALSE) * C170, "")</f>
        <v/>
      </c>
    </row>
    <row r="171">
      <c r="A171" s="3" t="n">
        <v>45730</v>
      </c>
      <c r="B171" t="inlineStr">
        <is>
          <t>ING-028</t>
        </is>
      </c>
      <c r="C171" t="n">
        <v>8</v>
      </c>
      <c r="D171" t="inlineStr">
        <is>
          <t>Hot Hold</t>
        </is>
      </c>
      <c r="E171" t="inlineStr">
        <is>
          <t>No</t>
        </is>
      </c>
      <c r="F171" t="inlineStr">
        <is>
          <t>No Date | Temp. logs req.</t>
        </is>
      </c>
      <c r="G171" s="13">
        <f>IFERROR(VLOOKUP(B171, 'Price Data'!A:D, 3, FALSE) * VLOOKUP(B171, 'Price Data'!A:D, 4, FALSE) * C171, "")</f>
        <v/>
      </c>
    </row>
    <row r="172">
      <c r="A172" s="3" t="n">
        <v>45730</v>
      </c>
      <c r="B172" t="inlineStr">
        <is>
          <t>ING-016</t>
        </is>
      </c>
      <c r="C172" t="n">
        <v>6</v>
      </c>
      <c r="D172" t="inlineStr">
        <is>
          <t>Expiring</t>
        </is>
      </c>
      <c r="E172" t="inlineStr">
        <is>
          <t>Strong Maybe</t>
        </is>
      </c>
      <c r="F172" t="inlineStr">
        <is>
          <t>Freeze (req) | Seafood</t>
        </is>
      </c>
      <c r="G172" s="13">
        <f>IFERROR(VLOOKUP(B172, 'Price Data'!A:D, 3, FALSE) * VLOOKUP(B172, 'Price Data'!A:D, 4, FALSE) * C172, "")</f>
        <v/>
      </c>
    </row>
    <row r="173">
      <c r="A173" s="3" t="n">
        <v>45730</v>
      </c>
      <c r="B173" t="inlineStr">
        <is>
          <t>ING-061</t>
        </is>
      </c>
      <c r="C173" t="n">
        <v>1.5</v>
      </c>
      <c r="D173" t="inlineStr">
        <is>
          <t>Hot Hold</t>
        </is>
      </c>
      <c r="E173" t="inlineStr">
        <is>
          <t>Maybe</t>
        </is>
      </c>
      <c r="F173" t="inlineStr">
        <is>
          <t>Temp. logs req.</t>
        </is>
      </c>
      <c r="G173" s="13">
        <f>IFERROR(VLOOKUP(B173, 'Price Data'!A:D, 3, FALSE) * VLOOKUP(B173, 'Price Data'!A:D, 4, FALSE) * C173, "")</f>
        <v/>
      </c>
    </row>
    <row r="174">
      <c r="A174" s="3" t="n">
        <v>45730</v>
      </c>
      <c r="B174" t="inlineStr">
        <is>
          <t>ING-111</t>
        </is>
      </c>
      <c r="C174" t="n">
        <v>1</v>
      </c>
      <c r="D174" t="inlineStr">
        <is>
          <t>Expiring</t>
        </is>
      </c>
      <c r="E174" t="inlineStr">
        <is>
          <t>Yes</t>
        </is>
      </c>
      <c r="F174" t="inlineStr">
        <is>
          <t>Freeze (req)</t>
        </is>
      </c>
      <c r="G174" s="13">
        <f>IFERROR(VLOOKUP(B174, 'Price Data'!A:D, 3, FALSE) * VLOOKUP(B174, 'Price Data'!A:D, 4, FALSE) * C174, "")</f>
        <v/>
      </c>
    </row>
    <row r="175">
      <c r="A175" s="3" t="n">
        <v>45730</v>
      </c>
      <c r="B175" t="inlineStr">
        <is>
          <t>ING-076</t>
        </is>
      </c>
      <c r="C175" t="n">
        <v>1</v>
      </c>
      <c r="D175" t="inlineStr">
        <is>
          <t>Hot Hold</t>
        </is>
      </c>
      <c r="E175" t="inlineStr">
        <is>
          <t>Weak Maybe</t>
        </is>
      </c>
      <c r="F175" t="inlineStr">
        <is>
          <t>Temp. logs req.</t>
        </is>
      </c>
      <c r="G175" s="13">
        <f>IFERROR(VLOOKUP(B175, 'Price Data'!A:D, 3, FALSE) * VLOOKUP(B175, 'Price Data'!A:D, 4, FALSE) * C175, "")</f>
        <v/>
      </c>
    </row>
    <row r="176">
      <c r="A176" s="3" t="n">
        <v>45730</v>
      </c>
      <c r="B176" t="inlineStr">
        <is>
          <t>ING-034</t>
        </is>
      </c>
      <c r="C176" t="n">
        <v>2.5</v>
      </c>
      <c r="D176" t="inlineStr">
        <is>
          <t>Expiring</t>
        </is>
      </c>
      <c r="E176" t="inlineStr">
        <is>
          <t>Yes</t>
        </is>
      </c>
      <c r="F176" t="inlineStr">
        <is>
          <t>As is</t>
        </is>
      </c>
      <c r="G176" s="13">
        <f>IFERROR(VLOOKUP(B176, 'Price Data'!A:D, 3, FALSE) * VLOOKUP(B176, 'Price Data'!A:D, 4, FALSE) * C176, "")</f>
        <v/>
      </c>
    </row>
    <row r="177">
      <c r="A177" s="3" t="n">
        <v>45730</v>
      </c>
      <c r="B177" t="inlineStr">
        <is>
          <t>ING-028</t>
        </is>
      </c>
      <c r="C177" t="n">
        <v>1.5</v>
      </c>
      <c r="D177" t="inlineStr">
        <is>
          <t>Hot Hold</t>
        </is>
      </c>
      <c r="E177" t="inlineStr">
        <is>
          <t>No</t>
        </is>
      </c>
      <c r="F177" s="2" t="inlineStr">
        <is>
          <t>Temp. logs req., No date</t>
        </is>
      </c>
      <c r="G177" s="13">
        <f>IFERROR(VLOOKUP(B177, 'Price Data'!A:D, 3, FALSE) * VLOOKUP(B177, 'Price Data'!A:D, 4, FALSE) * C177, "")</f>
        <v/>
      </c>
    </row>
    <row r="178">
      <c r="A178" s="3" t="n">
        <v>45730</v>
      </c>
      <c r="B178" t="inlineStr">
        <is>
          <t>ING-072</t>
        </is>
      </c>
      <c r="C178" t="n">
        <v>1</v>
      </c>
      <c r="D178" t="inlineStr">
        <is>
          <t>Hot Hold</t>
        </is>
      </c>
      <c r="E178" t="inlineStr">
        <is>
          <t>Maybe</t>
        </is>
      </c>
      <c r="F178" t="inlineStr">
        <is>
          <t>Temp. logs req.</t>
        </is>
      </c>
      <c r="G178" s="13">
        <f>IFERROR(VLOOKUP(B178, 'Price Data'!A:D, 3, FALSE) * VLOOKUP(B178, 'Price Data'!A:D, 4, FALSE) * C178, "")</f>
        <v/>
      </c>
    </row>
    <row r="179">
      <c r="A179" s="3" t="n">
        <v>45730</v>
      </c>
      <c r="B179" t="inlineStr">
        <is>
          <t>ING-131</t>
        </is>
      </c>
      <c r="C179" t="n">
        <v>2.5</v>
      </c>
      <c r="D179" t="inlineStr">
        <is>
          <t>Expiring</t>
        </is>
      </c>
      <c r="E179" t="inlineStr">
        <is>
          <t>Yes</t>
        </is>
      </c>
      <c r="F179" t="inlineStr">
        <is>
          <t>Freeze (req)</t>
        </is>
      </c>
      <c r="G179" s="13">
        <f>IFERROR(VLOOKUP(B179, 'Price Data'!A:D, 3, FALSE) * VLOOKUP(B179, 'Price Data'!A:D, 4, FALSE) * C179, "")</f>
        <v/>
      </c>
    </row>
    <row r="180">
      <c r="A180" s="3" t="n">
        <v>45730</v>
      </c>
      <c r="B180" t="inlineStr">
        <is>
          <t>ING-115</t>
        </is>
      </c>
      <c r="C180" t="n">
        <v>1</v>
      </c>
      <c r="D180" t="inlineStr">
        <is>
          <t>Expiring</t>
        </is>
      </c>
      <c r="E180" t="inlineStr">
        <is>
          <t>Maybe</t>
        </is>
      </c>
      <c r="F180" t="inlineStr">
        <is>
          <t>Seafood</t>
        </is>
      </c>
      <c r="G180" s="13">
        <f>IFERROR(VLOOKUP(B180, 'Price Data'!A:D, 3, FALSE) * VLOOKUP(B180, 'Price Data'!A:D, 4, FALSE) * C180, "")</f>
        <v/>
      </c>
    </row>
    <row r="181">
      <c r="A181" s="3" t="n">
        <v>45730</v>
      </c>
      <c r="B181" t="inlineStr">
        <is>
          <t>ING-139</t>
        </is>
      </c>
      <c r="C181" t="n">
        <v>9.5</v>
      </c>
      <c r="D181" t="inlineStr">
        <is>
          <t>Expiring</t>
        </is>
      </c>
      <c r="E181" t="inlineStr">
        <is>
          <t>Weak Maybe</t>
        </is>
      </c>
      <c r="F181" t="inlineStr">
        <is>
          <t>As is | Minimal Utility</t>
        </is>
      </c>
      <c r="G181" s="13">
        <f>IFERROR(VLOOKUP(B181, 'Price Data'!A:D, 3, FALSE) * VLOOKUP(B181, 'Price Data'!A:D, 4, FALSE) * C181, "")</f>
        <v/>
      </c>
    </row>
    <row r="182">
      <c r="A182" s="3" t="n">
        <v>45730</v>
      </c>
      <c r="B182" t="inlineStr">
        <is>
          <t>ING-040</t>
        </is>
      </c>
      <c r="C182" t="n">
        <v>2.5</v>
      </c>
      <c r="D182" t="inlineStr">
        <is>
          <t>Expiring</t>
        </is>
      </c>
      <c r="E182" t="inlineStr">
        <is>
          <t>No</t>
        </is>
      </c>
      <c r="F182" s="2" t="inlineStr">
        <is>
          <t>Minimal Utility</t>
        </is>
      </c>
      <c r="G182" s="13">
        <f>IFERROR(VLOOKUP(B182, 'Price Data'!A:D, 3, FALSE) * VLOOKUP(B182, 'Price Data'!A:D, 4, FALSE) * C182, "")</f>
        <v/>
      </c>
    </row>
    <row r="183">
      <c r="A183" s="3" t="n">
        <v>45732</v>
      </c>
      <c r="B183" t="inlineStr">
        <is>
          <t>ING-064</t>
        </is>
      </c>
      <c r="C183" t="n">
        <v>1</v>
      </c>
      <c r="D183" t="inlineStr">
        <is>
          <t>Expiring</t>
        </is>
      </c>
      <c r="E183" t="inlineStr">
        <is>
          <t>No</t>
        </is>
      </c>
      <c r="F183" s="2" t="inlineStr">
        <is>
          <t>Minimal Utility</t>
        </is>
      </c>
      <c r="G183" s="13">
        <f>IFERROR(VLOOKUP(B183, 'Price Data'!A:D, 3, FALSE) * VLOOKUP(B183, 'Price Data'!A:D, 4, FALSE) * C183, "")</f>
        <v/>
      </c>
    </row>
    <row r="184">
      <c r="A184" s="3" t="n">
        <v>45732</v>
      </c>
      <c r="B184" t="inlineStr">
        <is>
          <t>ING-075</t>
        </is>
      </c>
      <c r="C184" t="n">
        <v>1.5</v>
      </c>
      <c r="D184" t="inlineStr">
        <is>
          <t>Expiring</t>
        </is>
      </c>
      <c r="E184" t="inlineStr">
        <is>
          <t>Yes</t>
        </is>
      </c>
      <c r="F184" t="inlineStr">
        <is>
          <t>Freeze (rec)</t>
        </is>
      </c>
      <c r="G184" s="13">
        <f>IFERROR(VLOOKUP(B184, 'Price Data'!A:D, 3, FALSE) * VLOOKUP(B184, 'Price Data'!A:D, 4, FALSE) * C184, "")</f>
        <v/>
      </c>
    </row>
    <row r="185">
      <c r="A185" s="3" t="n">
        <v>45732</v>
      </c>
      <c r="B185" t="inlineStr">
        <is>
          <t>ING-150</t>
        </is>
      </c>
      <c r="C185" t="n">
        <v>7.5</v>
      </c>
      <c r="D185" t="inlineStr">
        <is>
          <t>Expiring</t>
        </is>
      </c>
      <c r="E185" t="inlineStr">
        <is>
          <t>Yes</t>
        </is>
      </c>
      <c r="F185" t="inlineStr">
        <is>
          <t>Freeze (req)</t>
        </is>
      </c>
      <c r="G185" s="13">
        <f>IFERROR(VLOOKUP(B185, 'Price Data'!A:D, 3, FALSE) * VLOOKUP(B185, 'Price Data'!A:D, 4, FALSE) * C185, "")</f>
        <v/>
      </c>
    </row>
    <row r="186">
      <c r="A186" s="3" t="n">
        <v>45732</v>
      </c>
      <c r="B186" t="inlineStr">
        <is>
          <t>ING-055</t>
        </is>
      </c>
      <c r="C186" t="n">
        <v>4.5</v>
      </c>
      <c r="D186" t="inlineStr">
        <is>
          <t>Expiring</t>
        </is>
      </c>
      <c r="E186" t="inlineStr">
        <is>
          <t>Maybe</t>
        </is>
      </c>
      <c r="F186" t="inlineStr">
        <is>
          <t>Freeze (rec)</t>
        </is>
      </c>
      <c r="G186" s="13">
        <f>IFERROR(VLOOKUP(B186, 'Price Data'!A:D, 3, FALSE) * VLOOKUP(B186, 'Price Data'!A:D, 4, FALSE) * C186, "")</f>
        <v/>
      </c>
    </row>
    <row r="187">
      <c r="A187" s="3" t="n">
        <v>45732</v>
      </c>
      <c r="B187" t="inlineStr">
        <is>
          <t>ING-036</t>
        </is>
      </c>
      <c r="C187" t="n">
        <v>1</v>
      </c>
      <c r="D187" t="inlineStr">
        <is>
          <t>Expiring</t>
        </is>
      </c>
      <c r="E187" t="inlineStr">
        <is>
          <t>Strong Maybe</t>
        </is>
      </c>
      <c r="F187" t="inlineStr">
        <is>
          <t>Freeze (req) | Seafood</t>
        </is>
      </c>
      <c r="G187" s="13">
        <f>IFERROR(VLOOKUP(B187, 'Price Data'!A:D, 3, FALSE) * VLOOKUP(B187, 'Price Data'!A:D, 4, FALSE) * C187, "")</f>
        <v/>
      </c>
    </row>
    <row r="188">
      <c r="A188" s="3" t="n">
        <v>45732</v>
      </c>
      <c r="B188" t="inlineStr">
        <is>
          <t>ING-088</t>
        </is>
      </c>
      <c r="C188" t="n">
        <v>2</v>
      </c>
      <c r="D188" t="inlineStr">
        <is>
          <t>Expiring</t>
        </is>
      </c>
      <c r="E188" t="inlineStr">
        <is>
          <t>No</t>
        </is>
      </c>
      <c r="F188" t="inlineStr">
        <is>
          <t>Cut produce</t>
        </is>
      </c>
      <c r="G188" s="13">
        <f>IFERROR(VLOOKUP(B188, 'Price Data'!A:D, 3, FALSE) * VLOOKUP(B188, 'Price Data'!A:D, 4, FALSE) * C188, "")</f>
        <v/>
      </c>
    </row>
    <row r="189">
      <c r="A189" s="3" t="n">
        <v>45732</v>
      </c>
      <c r="B189" t="inlineStr">
        <is>
          <t>ING-038</t>
        </is>
      </c>
      <c r="C189" t="n">
        <v>1.5</v>
      </c>
      <c r="D189" t="inlineStr">
        <is>
          <t>Expiring</t>
        </is>
      </c>
      <c r="E189" t="inlineStr">
        <is>
          <t>Weak Maybe</t>
        </is>
      </c>
      <c r="F189" t="inlineStr">
        <is>
          <t>Cut produce | No tamper-proof seal</t>
        </is>
      </c>
      <c r="G189" s="13">
        <f>IFERROR(VLOOKUP(B189, 'Price Data'!A:D, 3, FALSE) * VLOOKUP(B189, 'Price Data'!A:D, 4, FALSE) * C189, "")</f>
        <v/>
      </c>
    </row>
    <row r="190">
      <c r="A190" s="3" t="n">
        <v>45732</v>
      </c>
      <c r="B190" t="inlineStr">
        <is>
          <t>ING-109</t>
        </is>
      </c>
      <c r="C190" t="n">
        <v>1.5</v>
      </c>
      <c r="D190" t="inlineStr">
        <is>
          <t>Expiring</t>
        </is>
      </c>
      <c r="E190" t="inlineStr">
        <is>
          <t>Yes</t>
        </is>
      </c>
      <c r="F190" t="inlineStr">
        <is>
          <t>Freeze (req)</t>
        </is>
      </c>
      <c r="G190" s="13">
        <f>IFERROR(VLOOKUP(B190, 'Price Data'!A:D, 3, FALSE) * VLOOKUP(B190, 'Price Data'!A:D, 4, FALSE) * C190, "")</f>
        <v/>
      </c>
    </row>
    <row r="191">
      <c r="A191" s="3" t="n">
        <v>45732</v>
      </c>
      <c r="B191" t="inlineStr">
        <is>
          <t>ING-112</t>
        </is>
      </c>
      <c r="C191" t="n">
        <v>0.5</v>
      </c>
      <c r="D191" t="inlineStr">
        <is>
          <t>Expiring</t>
        </is>
      </c>
      <c r="E191" t="inlineStr">
        <is>
          <t>No</t>
        </is>
      </c>
      <c r="F191" t="inlineStr">
        <is>
          <t>Cut produce | No tamper-proof seal</t>
        </is>
      </c>
      <c r="G191" s="13">
        <f>IFERROR(VLOOKUP(B191, 'Price Data'!A:D, 3, FALSE) * VLOOKUP(B191, 'Price Data'!A:D, 4, FALSE) * C191, "")</f>
        <v/>
      </c>
    </row>
    <row r="192">
      <c r="A192" s="3" t="n">
        <v>45732</v>
      </c>
      <c r="B192" t="inlineStr">
        <is>
          <t>ING-056</t>
        </is>
      </c>
      <c r="C192" t="n">
        <v>7</v>
      </c>
      <c r="D192" t="inlineStr">
        <is>
          <t>Hot Hold</t>
        </is>
      </c>
      <c r="E192" t="inlineStr">
        <is>
          <t>No</t>
        </is>
      </c>
      <c r="F192" t="inlineStr">
        <is>
          <t>Temp. logs req. | Cooked produce | Minimal Utility</t>
        </is>
      </c>
      <c r="G192" s="13">
        <f>IFERROR(VLOOKUP(B192, 'Price Data'!A:D, 3, FALSE) * VLOOKUP(B192, 'Price Data'!A:D, 4, FALSE) * C192, "")</f>
        <v/>
      </c>
    </row>
    <row r="193">
      <c r="A193" s="3" t="n">
        <v>45732</v>
      </c>
      <c r="B193" t="inlineStr">
        <is>
          <t>ING-128</t>
        </is>
      </c>
      <c r="C193" t="n">
        <v>1</v>
      </c>
      <c r="D193" t="inlineStr">
        <is>
          <t>Hot Hold</t>
        </is>
      </c>
      <c r="E193" t="inlineStr">
        <is>
          <t>No</t>
        </is>
      </c>
      <c r="F193" t="inlineStr">
        <is>
          <t>Temp. logs req. | Cooked produce | Minimal Utility</t>
        </is>
      </c>
      <c r="G193" s="13">
        <f>IFERROR(VLOOKUP(B193, 'Price Data'!A:D, 3, FALSE) * VLOOKUP(B193, 'Price Data'!A:D, 4, FALSE) * C193, "")</f>
        <v/>
      </c>
    </row>
    <row r="194">
      <c r="A194" s="3" t="n">
        <v>45732</v>
      </c>
      <c r="B194" t="inlineStr">
        <is>
          <t>ING-075</t>
        </is>
      </c>
      <c r="C194" t="n">
        <v>1</v>
      </c>
      <c r="D194" t="inlineStr">
        <is>
          <t>Expiring</t>
        </is>
      </c>
      <c r="E194" t="inlineStr">
        <is>
          <t>No</t>
        </is>
      </c>
      <c r="F194" t="inlineStr">
        <is>
          <t>No tamper-proof seal</t>
        </is>
      </c>
      <c r="G194" s="13">
        <f>IFERROR(VLOOKUP(B194, 'Price Data'!A:D, 3, FALSE) * VLOOKUP(B194, 'Price Data'!A:D, 4, FALSE) * C194, "")</f>
        <v/>
      </c>
    </row>
    <row r="195">
      <c r="A195" s="3" t="n">
        <v>45732</v>
      </c>
      <c r="B195" t="inlineStr">
        <is>
          <t>ING-157</t>
        </is>
      </c>
      <c r="C195" t="n">
        <v>0.5</v>
      </c>
      <c r="D195" t="inlineStr">
        <is>
          <t>Expiring</t>
        </is>
      </c>
      <c r="E195" t="inlineStr">
        <is>
          <t>Yes</t>
        </is>
      </c>
      <c r="F195" s="2" t="inlineStr">
        <is>
          <t>As is</t>
        </is>
      </c>
      <c r="G195" s="13">
        <f>IFERROR(VLOOKUP(B195, 'Price Data'!A:D, 3, FALSE) * VLOOKUP(B195, 'Price Data'!A:D, 4, FALSE) * C195, "")</f>
        <v/>
      </c>
    </row>
    <row r="196">
      <c r="A196" s="3" t="n">
        <v>45732</v>
      </c>
      <c r="B196" t="inlineStr">
        <is>
          <t>ING-157</t>
        </is>
      </c>
      <c r="C196" t="n">
        <v>1</v>
      </c>
      <c r="D196" t="inlineStr">
        <is>
          <t>DISCARDED</t>
        </is>
      </c>
      <c r="E196" t="inlineStr">
        <is>
          <t>No</t>
        </is>
      </c>
      <c r="F196" s="2" t="inlineStr">
        <is>
          <t>DISCARDED</t>
        </is>
      </c>
      <c r="G196" s="13">
        <f>IFERROR(VLOOKUP(B196, 'Price Data'!A:D, 3, FALSE) * VLOOKUP(B196, 'Price Data'!A:D, 4, FALSE) * C196, "")</f>
        <v/>
      </c>
    </row>
    <row r="197">
      <c r="A197" s="3" t="n">
        <v>45732</v>
      </c>
      <c r="B197" t="inlineStr">
        <is>
          <t>ING-157</t>
        </is>
      </c>
      <c r="C197" t="n">
        <v>1.5</v>
      </c>
      <c r="D197" t="inlineStr">
        <is>
          <t>Hot Hold</t>
        </is>
      </c>
      <c r="E197" t="inlineStr">
        <is>
          <t>Maybe</t>
        </is>
      </c>
      <c r="F197" t="inlineStr">
        <is>
          <t>Temp. logs req.</t>
        </is>
      </c>
      <c r="G197" s="13">
        <f>IFERROR(VLOOKUP(B197, 'Price Data'!A:D, 3, FALSE) * VLOOKUP(B197, 'Price Data'!A:D, 4, FALSE) * C197, "")</f>
        <v/>
      </c>
    </row>
    <row r="198">
      <c r="A198" s="3" t="n">
        <v>45732</v>
      </c>
      <c r="B198" t="inlineStr">
        <is>
          <t>ING-113</t>
        </is>
      </c>
      <c r="C198" t="n">
        <v>36.5</v>
      </c>
      <c r="D198" t="inlineStr">
        <is>
          <t>Removed From Menu</t>
        </is>
      </c>
      <c r="E198" t="inlineStr">
        <is>
          <t>Yes</t>
        </is>
      </c>
      <c r="F198" t="inlineStr">
        <is>
          <t>As is</t>
        </is>
      </c>
      <c r="G198" s="13">
        <f>IFERROR(VLOOKUP(B198, 'Price Data'!A:D, 3, FALSE) * VLOOKUP(B198, 'Price Data'!A:D, 4, FALSE) * C198, "")</f>
        <v/>
      </c>
    </row>
    <row r="199">
      <c r="A199" s="3" t="n">
        <v>45732</v>
      </c>
      <c r="B199" t="inlineStr">
        <is>
          <t>ING-115</t>
        </is>
      </c>
      <c r="C199" t="n">
        <v>2.5</v>
      </c>
      <c r="D199" t="inlineStr">
        <is>
          <t>Expiring</t>
        </is>
      </c>
      <c r="E199" t="inlineStr">
        <is>
          <t>Maybe</t>
        </is>
      </c>
      <c r="F199" s="2" t="inlineStr">
        <is>
          <t>Seafood</t>
        </is>
      </c>
      <c r="G199" s="13">
        <f>IFERROR(VLOOKUP(B199, 'Price Data'!A:D, 3, FALSE) * VLOOKUP(B199, 'Price Data'!A:D, 4, FALSE) * C199, "")</f>
        <v/>
      </c>
    </row>
    <row r="200">
      <c r="A200" s="3" t="n">
        <v>45732</v>
      </c>
      <c r="B200" t="inlineStr">
        <is>
          <t>ING-025</t>
        </is>
      </c>
      <c r="C200" t="n">
        <v>0.5</v>
      </c>
      <c r="D200" t="inlineStr">
        <is>
          <t>Expiring</t>
        </is>
      </c>
      <c r="E200" t="inlineStr">
        <is>
          <t>No</t>
        </is>
      </c>
      <c r="F200" t="inlineStr">
        <is>
          <t>Minimal Utility</t>
        </is>
      </c>
      <c r="G200" s="13">
        <f>IFERROR(VLOOKUP(B200, 'Price Data'!A:D, 3, FALSE) * VLOOKUP(B200, 'Price Data'!A:D, 4, FALSE) * C200, "")</f>
        <v/>
      </c>
    </row>
    <row r="201">
      <c r="A201" s="3" t="n">
        <v>45732</v>
      </c>
      <c r="B201" t="inlineStr">
        <is>
          <t>ING-031</t>
        </is>
      </c>
      <c r="C201" t="n">
        <v>1</v>
      </c>
      <c r="D201" t="inlineStr">
        <is>
          <t>Expiring</t>
        </is>
      </c>
      <c r="E201" t="inlineStr">
        <is>
          <t>Weak Maybe</t>
        </is>
      </c>
      <c r="F201" t="inlineStr">
        <is>
          <t>No tamper-proof seal</t>
        </is>
      </c>
      <c r="G201" s="13">
        <f>IFERROR(VLOOKUP(B201, 'Price Data'!A:D, 3, FALSE) * VLOOKUP(B201, 'Price Data'!A:D, 4, FALSE) * C201, "")</f>
        <v/>
      </c>
    </row>
    <row r="202">
      <c r="A202" s="3" t="n">
        <v>45732</v>
      </c>
      <c r="B202" t="inlineStr">
        <is>
          <t>ING-036</t>
        </is>
      </c>
      <c r="C202" t="n">
        <v>0.5</v>
      </c>
      <c r="D202" t="inlineStr">
        <is>
          <t>Expiring</t>
        </is>
      </c>
      <c r="E202" t="inlineStr">
        <is>
          <t>Strong Maybe</t>
        </is>
      </c>
      <c r="F202" t="inlineStr">
        <is>
          <t>Freeze (req) | Seafood</t>
        </is>
      </c>
      <c r="G202" s="13">
        <f>IFERROR(VLOOKUP(B202, 'Price Data'!A:D, 3, FALSE) * VLOOKUP(B202, 'Price Data'!A:D, 4, FALSE) * C202, "")</f>
        <v/>
      </c>
    </row>
    <row r="203">
      <c r="A203" s="3" t="n">
        <v>45732</v>
      </c>
      <c r="B203" t="inlineStr">
        <is>
          <t>ING-091</t>
        </is>
      </c>
      <c r="C203" t="n">
        <v>0.5</v>
      </c>
      <c r="D203" t="inlineStr">
        <is>
          <t>Expiring</t>
        </is>
      </c>
      <c r="E203" t="inlineStr">
        <is>
          <t>No</t>
        </is>
      </c>
      <c r="F203" t="inlineStr">
        <is>
          <t>No tamper-proof seal, Freeze (req)</t>
        </is>
      </c>
      <c r="G203" s="13">
        <f>IFERROR(VLOOKUP(B203, 'Price Data'!A:D, 3, FALSE) * VLOOKUP(B203, 'Price Data'!A:D, 4, FALSE) * C203, "")</f>
        <v/>
      </c>
    </row>
    <row r="204">
      <c r="A204" s="3" t="n">
        <v>45732</v>
      </c>
      <c r="B204" t="inlineStr">
        <is>
          <t>ING-055</t>
        </is>
      </c>
      <c r="C204" t="n">
        <v>3</v>
      </c>
      <c r="D204" t="inlineStr">
        <is>
          <t>Expiring</t>
        </is>
      </c>
      <c r="E204" t="inlineStr">
        <is>
          <t>Maybe</t>
        </is>
      </c>
      <c r="F204" t="inlineStr">
        <is>
          <t>Freeze (rec)</t>
        </is>
      </c>
      <c r="G204" s="13">
        <f>IFERROR(VLOOKUP(B204, 'Price Data'!A:D, 3, FALSE) * VLOOKUP(B204, 'Price Data'!A:D, 4, FALSE) * C204, "")</f>
        <v/>
      </c>
    </row>
    <row r="205">
      <c r="A205" s="3" t="n">
        <v>45732</v>
      </c>
      <c r="B205" t="inlineStr">
        <is>
          <t>ING-009</t>
        </is>
      </c>
      <c r="C205" t="n">
        <v>1</v>
      </c>
      <c r="D205" t="inlineStr">
        <is>
          <t>Expiring</t>
        </is>
      </c>
      <c r="E205" t="inlineStr">
        <is>
          <t>Yes</t>
        </is>
      </c>
      <c r="F205" t="inlineStr">
        <is>
          <t>As is</t>
        </is>
      </c>
      <c r="G205" s="13">
        <f>IFERROR(VLOOKUP(B205, 'Price Data'!A:D, 3, FALSE) * VLOOKUP(B205, 'Price Data'!A:D, 4, FALSE) * C205, "")</f>
        <v/>
      </c>
    </row>
    <row r="206">
      <c r="A206" s="3" t="n">
        <v>45733</v>
      </c>
      <c r="B206" t="inlineStr">
        <is>
          <t>ING-159</t>
        </is>
      </c>
      <c r="C206" t="n">
        <v>1</v>
      </c>
      <c r="D206" t="inlineStr">
        <is>
          <t>Hot Hold</t>
        </is>
      </c>
      <c r="E206" t="inlineStr">
        <is>
          <t>Maybe</t>
        </is>
      </c>
      <c r="F206" t="inlineStr">
        <is>
          <t>Temp. logs req.</t>
        </is>
      </c>
      <c r="G206" s="13">
        <f>IFERROR(VLOOKUP(B206, 'Price Data'!A:D, 3, FALSE) * VLOOKUP(B206, 'Price Data'!A:D, 4, FALSE) * C206, "")</f>
        <v/>
      </c>
    </row>
    <row r="207">
      <c r="A207" s="3" t="n">
        <v>45733</v>
      </c>
      <c r="B207" t="inlineStr">
        <is>
          <t>ING-087</t>
        </is>
      </c>
      <c r="C207" t="n">
        <v>1.5</v>
      </c>
      <c r="D207" t="inlineStr">
        <is>
          <t>Expiring</t>
        </is>
      </c>
      <c r="E207" t="inlineStr">
        <is>
          <t>Yes</t>
        </is>
      </c>
      <c r="F207" t="inlineStr">
        <is>
          <t>As is</t>
        </is>
      </c>
      <c r="G207" s="13">
        <f>IFERROR(VLOOKUP(B207, 'Price Data'!A:D, 3, FALSE) * VLOOKUP(B207, 'Price Data'!A:D, 4, FALSE) * C207, "")</f>
        <v/>
      </c>
    </row>
    <row r="208">
      <c r="A208" s="3" t="n">
        <v>45733</v>
      </c>
      <c r="B208" t="inlineStr">
        <is>
          <t>ING-163</t>
        </is>
      </c>
      <c r="C208" t="n">
        <v>2.5</v>
      </c>
      <c r="D208" t="inlineStr">
        <is>
          <t>Hot Hold</t>
        </is>
      </c>
      <c r="E208" t="inlineStr">
        <is>
          <t>Weak Maybe</t>
        </is>
      </c>
      <c r="F208" t="inlineStr">
        <is>
          <t>Temp. logs req.</t>
        </is>
      </c>
      <c r="G208" s="13">
        <f>IFERROR(VLOOKUP(B208, 'Price Data'!A:D, 3, FALSE) * VLOOKUP(B208, 'Price Data'!A:D, 4, FALSE) * C208, "")</f>
        <v/>
      </c>
    </row>
    <row r="209">
      <c r="A209" s="3" t="n">
        <v>45733</v>
      </c>
      <c r="B209" t="inlineStr">
        <is>
          <t>ING-035</t>
        </is>
      </c>
      <c r="C209" t="n">
        <v>10.5</v>
      </c>
      <c r="D209" t="inlineStr">
        <is>
          <t>Expiring</t>
        </is>
      </c>
      <c r="E209" t="inlineStr">
        <is>
          <t>Yes</t>
        </is>
      </c>
      <c r="F209" t="inlineStr">
        <is>
          <t>As is</t>
        </is>
      </c>
      <c r="G209" s="13">
        <f>IFERROR(VLOOKUP(B209, 'Price Data'!A:D, 3, FALSE) * VLOOKUP(B209, 'Price Data'!A:D, 4, FALSE) * C209, "")</f>
        <v/>
      </c>
    </row>
    <row r="210">
      <c r="A210" s="3" t="n">
        <v>45733</v>
      </c>
      <c r="B210" t="inlineStr">
        <is>
          <t>ING-017</t>
        </is>
      </c>
      <c r="C210" t="n">
        <v>1</v>
      </c>
      <c r="D210" t="inlineStr">
        <is>
          <t>Expiring</t>
        </is>
      </c>
      <c r="E210" t="inlineStr">
        <is>
          <t>Weak Maybe</t>
        </is>
      </c>
      <c r="F210" t="inlineStr">
        <is>
          <t>Minimal Utility | No tamper-proof seal</t>
        </is>
      </c>
      <c r="G210" s="13">
        <f>IFERROR(VLOOKUP(B210, 'Price Data'!A:D, 3, FALSE) * VLOOKUP(B210, 'Price Data'!A:D, 4, FALSE) * C210, "")</f>
        <v/>
      </c>
    </row>
    <row r="211">
      <c r="A211" s="3" t="n">
        <v>45733</v>
      </c>
      <c r="B211" t="inlineStr">
        <is>
          <t>ING-068</t>
        </is>
      </c>
      <c r="C211" t="n">
        <v>1.5</v>
      </c>
      <c r="D211" t="inlineStr">
        <is>
          <t>Hot Hold</t>
        </is>
      </c>
      <c r="E211" t="inlineStr">
        <is>
          <t>Maybe</t>
        </is>
      </c>
      <c r="F211" t="inlineStr">
        <is>
          <t>Temp. logs req.</t>
        </is>
      </c>
      <c r="G211" s="13">
        <f>IFERROR(VLOOKUP(B211, 'Price Data'!A:D, 3, FALSE) * VLOOKUP(B211, 'Price Data'!A:D, 4, FALSE) * C211, "")</f>
        <v/>
      </c>
    </row>
    <row r="212">
      <c r="A212" s="3" t="n">
        <v>45733</v>
      </c>
      <c r="B212" t="inlineStr">
        <is>
          <t>ING-060</t>
        </is>
      </c>
      <c r="C212" t="n">
        <v>0.5</v>
      </c>
      <c r="D212" t="inlineStr">
        <is>
          <t>Expiring</t>
        </is>
      </c>
      <c r="E212" t="inlineStr">
        <is>
          <t>Maybe</t>
        </is>
      </c>
      <c r="F212" t="inlineStr">
        <is>
          <t>No tamper-proof seal</t>
        </is>
      </c>
      <c r="G212" s="13">
        <f>IFERROR(VLOOKUP(B212, 'Price Data'!A:D, 3, FALSE) * VLOOKUP(B212, 'Price Data'!A:D, 4, FALSE) * C212, "")</f>
        <v/>
      </c>
    </row>
    <row r="213">
      <c r="A213" s="3" t="n">
        <v>45733</v>
      </c>
      <c r="B213" t="inlineStr">
        <is>
          <t>ING-072</t>
        </is>
      </c>
      <c r="C213" t="n">
        <v>1</v>
      </c>
      <c r="D213" t="inlineStr">
        <is>
          <t>Hot Hold</t>
        </is>
      </c>
      <c r="E213" t="inlineStr">
        <is>
          <t>Maybe</t>
        </is>
      </c>
      <c r="F213" t="inlineStr">
        <is>
          <t>Temp. logs req.</t>
        </is>
      </c>
      <c r="G213" s="13">
        <f>IFERROR(VLOOKUP(B213, 'Price Data'!A:D, 3, FALSE) * VLOOKUP(B213, 'Price Data'!A:D, 4, FALSE) * C213, "")</f>
        <v/>
      </c>
    </row>
    <row r="214">
      <c r="A214" s="3" t="n">
        <v>45733</v>
      </c>
      <c r="B214" t="inlineStr">
        <is>
          <t>ING-157</t>
        </is>
      </c>
      <c r="C214" t="n">
        <v>1</v>
      </c>
      <c r="D214" t="inlineStr">
        <is>
          <t>Hot Hold</t>
        </is>
      </c>
      <c r="E214" t="inlineStr">
        <is>
          <t>Maybe</t>
        </is>
      </c>
      <c r="F214" s="2" t="inlineStr">
        <is>
          <t>Temp. logs req.</t>
        </is>
      </c>
      <c r="G214" s="13">
        <f>IFERROR(VLOOKUP(B214, 'Price Data'!A:D, 3, FALSE) * VLOOKUP(B214, 'Price Data'!A:D, 4, FALSE) * C214, "")</f>
        <v/>
      </c>
    </row>
    <row r="215">
      <c r="A215" s="3" t="n">
        <v>45733</v>
      </c>
      <c r="B215" t="inlineStr">
        <is>
          <t>ING-109</t>
        </is>
      </c>
      <c r="C215" t="n">
        <v>1</v>
      </c>
      <c r="D215" t="inlineStr">
        <is>
          <t>Expiring</t>
        </is>
      </c>
      <c r="E215" t="inlineStr">
        <is>
          <t>Yes</t>
        </is>
      </c>
      <c r="F215" t="inlineStr">
        <is>
          <t>Freeze (req)</t>
        </is>
      </c>
      <c r="G215" s="13">
        <f>IFERROR(VLOOKUP(B215, 'Price Data'!A:D, 3, FALSE) * VLOOKUP(B215, 'Price Data'!A:D, 4, FALSE) * C215, "")</f>
        <v/>
      </c>
    </row>
    <row r="216">
      <c r="A216" s="3" t="n">
        <v>45733</v>
      </c>
      <c r="B216" t="inlineStr">
        <is>
          <t>ING-091</t>
        </is>
      </c>
      <c r="C216" t="n">
        <v>4</v>
      </c>
      <c r="D216" t="inlineStr">
        <is>
          <t>Expiring</t>
        </is>
      </c>
      <c r="E216" t="inlineStr">
        <is>
          <t>Yes</t>
        </is>
      </c>
      <c r="F216" t="inlineStr">
        <is>
          <t>Freeze (req)</t>
        </is>
      </c>
      <c r="G216" s="13">
        <f>IFERROR(VLOOKUP(B216, 'Price Data'!A:D, 3, FALSE) * VLOOKUP(B216, 'Price Data'!A:D, 4, FALSE) * C216, "")</f>
        <v/>
      </c>
    </row>
    <row r="217">
      <c r="A217" s="3" t="n">
        <v>45733</v>
      </c>
      <c r="B217" t="inlineStr">
        <is>
          <t>ING-159</t>
        </is>
      </c>
      <c r="C217" t="n">
        <v>1</v>
      </c>
      <c r="D217" t="inlineStr">
        <is>
          <t>Hot Hold</t>
        </is>
      </c>
      <c r="E217" t="inlineStr">
        <is>
          <t>Maybe</t>
        </is>
      </c>
      <c r="F217" t="inlineStr">
        <is>
          <t>Temp. logs req.</t>
        </is>
      </c>
      <c r="G217" s="13">
        <f>IFERROR(VLOOKUP(B217, 'Price Data'!A:D, 3, FALSE) * VLOOKUP(B217, 'Price Data'!A:D, 4, FALSE) * C217, "")</f>
        <v/>
      </c>
    </row>
    <row r="218">
      <c r="A218" s="3" t="n">
        <v>45733</v>
      </c>
      <c r="B218" t="inlineStr">
        <is>
          <t>ING-156</t>
        </is>
      </c>
      <c r="C218" t="n">
        <v>2.5</v>
      </c>
      <c r="D218" t="inlineStr">
        <is>
          <t>Expiring</t>
        </is>
      </c>
      <c r="E218" t="inlineStr">
        <is>
          <t>Yes</t>
        </is>
      </c>
      <c r="F218" s="2" t="inlineStr">
        <is>
          <t>As is</t>
        </is>
      </c>
      <c r="G218" s="13">
        <f>IFERROR(VLOOKUP(B218, 'Price Data'!A:D, 3, FALSE) * VLOOKUP(B218, 'Price Data'!A:D, 4, FALSE) * C218, "")</f>
        <v/>
      </c>
    </row>
    <row r="219">
      <c r="A219" s="3" t="n">
        <v>45733</v>
      </c>
      <c r="B219" t="inlineStr">
        <is>
          <t>ING-120</t>
        </is>
      </c>
      <c r="C219" t="n">
        <v>0.5</v>
      </c>
      <c r="D219" t="inlineStr">
        <is>
          <t>Expiring</t>
        </is>
      </c>
      <c r="E219" t="inlineStr">
        <is>
          <t>Yes</t>
        </is>
      </c>
      <c r="F219" t="inlineStr">
        <is>
          <t>Freeze (req)</t>
        </is>
      </c>
      <c r="G219" s="13">
        <f>IFERROR(VLOOKUP(B219, 'Price Data'!A:D, 3, FALSE) * VLOOKUP(B219, 'Price Data'!A:D, 4, FALSE) * C219, "")</f>
        <v/>
      </c>
    </row>
    <row r="220">
      <c r="A220" s="3" t="n">
        <v>45733</v>
      </c>
      <c r="B220" t="inlineStr">
        <is>
          <t>ING-048</t>
        </is>
      </c>
      <c r="C220" t="n">
        <v>0.5</v>
      </c>
      <c r="D220" t="inlineStr">
        <is>
          <t>Expiring</t>
        </is>
      </c>
      <c r="E220" t="inlineStr">
        <is>
          <t>Maybe</t>
        </is>
      </c>
      <c r="F220" t="inlineStr">
        <is>
          <t>Freeze (req), No tamper-proof seal</t>
        </is>
      </c>
      <c r="G220" s="13">
        <f>IFERROR(VLOOKUP(B220, 'Price Data'!A:D, 3, FALSE) * VLOOKUP(B220, 'Price Data'!A:D, 4, FALSE) * C220, "")</f>
        <v/>
      </c>
    </row>
    <row r="221">
      <c r="A221" s="3" t="n">
        <v>45733</v>
      </c>
      <c r="B221" t="inlineStr">
        <is>
          <t>ING-033</t>
        </is>
      </c>
      <c r="C221" t="n">
        <v>2.5</v>
      </c>
      <c r="D221" t="inlineStr">
        <is>
          <t>Expiring</t>
        </is>
      </c>
      <c r="E221" t="inlineStr">
        <is>
          <t>No</t>
        </is>
      </c>
      <c r="F221" t="inlineStr">
        <is>
          <t>Cut produce | No tamper-proof seal</t>
        </is>
      </c>
      <c r="G221" s="13">
        <f>IFERROR(VLOOKUP(B221, 'Price Data'!A:D, 3, FALSE) * VLOOKUP(B221, 'Price Data'!A:D, 4, FALSE) * C221, "")</f>
        <v/>
      </c>
    </row>
    <row r="222">
      <c r="A222" s="3" t="n">
        <v>45733</v>
      </c>
      <c r="B222" t="inlineStr">
        <is>
          <t>ING-152</t>
        </is>
      </c>
      <c r="C222" t="n">
        <v>2</v>
      </c>
      <c r="D222" t="inlineStr">
        <is>
          <t>Expiring</t>
        </is>
      </c>
      <c r="E222" t="inlineStr">
        <is>
          <t>Yes</t>
        </is>
      </c>
      <c r="F222" t="inlineStr">
        <is>
          <t>As is</t>
        </is>
      </c>
      <c r="G222" s="13">
        <f>IFERROR(VLOOKUP(B222, 'Price Data'!A:D, 3, FALSE) * VLOOKUP(B222, 'Price Data'!A:D, 4, FALSE) * C222, "")</f>
        <v/>
      </c>
    </row>
    <row r="223">
      <c r="A223" s="3" t="n">
        <v>45733</v>
      </c>
      <c r="B223" t="inlineStr">
        <is>
          <t>ING-163</t>
        </is>
      </c>
      <c r="C223" t="n">
        <v>2</v>
      </c>
      <c r="D223" t="inlineStr">
        <is>
          <t>Hot Hold</t>
        </is>
      </c>
      <c r="E223" t="inlineStr">
        <is>
          <t>Weak Maybe</t>
        </is>
      </c>
      <c r="F223" t="inlineStr">
        <is>
          <t>Temp. logs req.</t>
        </is>
      </c>
      <c r="G223" s="13">
        <f>IFERROR(VLOOKUP(B223, 'Price Data'!A:D, 3, FALSE) * VLOOKUP(B223, 'Price Data'!A:D, 4, FALSE) * C223, "")</f>
        <v/>
      </c>
    </row>
    <row r="224">
      <c r="A224" s="3" t="n">
        <v>45733</v>
      </c>
      <c r="B224" t="inlineStr">
        <is>
          <t>ING-016</t>
        </is>
      </c>
      <c r="C224" t="n">
        <v>4</v>
      </c>
      <c r="D224" t="inlineStr">
        <is>
          <t>Expiring</t>
        </is>
      </c>
      <c r="E224" t="inlineStr">
        <is>
          <t>Strong Maybe</t>
        </is>
      </c>
      <c r="F224" t="inlineStr">
        <is>
          <t>Freeze (req) | Seafood</t>
        </is>
      </c>
      <c r="G224" s="13">
        <f>IFERROR(VLOOKUP(B224, 'Price Data'!A:D, 3, FALSE) * VLOOKUP(B224, 'Price Data'!A:D, 4, FALSE) * C224, "")</f>
        <v/>
      </c>
    </row>
    <row r="225">
      <c r="A225" s="3" t="n">
        <v>45733</v>
      </c>
      <c r="B225" t="inlineStr">
        <is>
          <t>ING-157</t>
        </is>
      </c>
      <c r="C225" t="n">
        <v>1.5</v>
      </c>
      <c r="D225" t="inlineStr">
        <is>
          <t>Hot Hold</t>
        </is>
      </c>
      <c r="E225" t="inlineStr">
        <is>
          <t>Maybe</t>
        </is>
      </c>
      <c r="F225" t="inlineStr">
        <is>
          <t>Temp. logs req.</t>
        </is>
      </c>
      <c r="G225" s="13">
        <f>IFERROR(VLOOKUP(B225, 'Price Data'!A:D, 3, FALSE) * VLOOKUP(B225, 'Price Data'!A:D, 4, FALSE) * C225, "")</f>
        <v/>
      </c>
    </row>
    <row r="226">
      <c r="A226" s="3" t="n">
        <v>45733</v>
      </c>
      <c r="B226" t="inlineStr">
        <is>
          <t>ING-129</t>
        </is>
      </c>
      <c r="C226" t="n">
        <v>1</v>
      </c>
      <c r="D226" t="inlineStr">
        <is>
          <t>Hot Hold</t>
        </is>
      </c>
      <c r="E226" t="inlineStr">
        <is>
          <t>Maybe</t>
        </is>
      </c>
      <c r="F226" s="5" t="inlineStr">
        <is>
          <t>Temp. logs req.</t>
        </is>
      </c>
      <c r="G226" s="13">
        <f>IFERROR(VLOOKUP(B226, 'Price Data'!A:D, 3, FALSE) * VLOOKUP(B226, 'Price Data'!A:D, 4, FALSE) * C226, "")</f>
        <v/>
      </c>
    </row>
    <row r="227">
      <c r="A227" s="3" t="n">
        <v>45733</v>
      </c>
      <c r="B227" t="inlineStr">
        <is>
          <t>ING-124</t>
        </is>
      </c>
      <c r="C227" t="n">
        <v>1</v>
      </c>
      <c r="D227" t="inlineStr">
        <is>
          <t>Expiring</t>
        </is>
      </c>
      <c r="E227" t="inlineStr">
        <is>
          <t>No</t>
        </is>
      </c>
      <c r="F227" s="2" t="inlineStr">
        <is>
          <t>No tamper-proof seal</t>
        </is>
      </c>
      <c r="G227" s="13">
        <f>IFERROR(VLOOKUP(B227, 'Price Data'!A:D, 3, FALSE) * VLOOKUP(B227, 'Price Data'!A:D, 4, FALSE) * C227, "")</f>
        <v/>
      </c>
    </row>
    <row r="228">
      <c r="A228" s="3" t="n">
        <v>45733</v>
      </c>
      <c r="B228" t="inlineStr">
        <is>
          <t>ING-182</t>
        </is>
      </c>
      <c r="C228" t="n">
        <v>4</v>
      </c>
      <c r="D228" t="inlineStr">
        <is>
          <t>Expiring</t>
        </is>
      </c>
      <c r="E228" t="inlineStr">
        <is>
          <t>Weak Maybe</t>
        </is>
      </c>
      <c r="F228" s="2" t="inlineStr">
        <is>
          <t>Cut produce</t>
        </is>
      </c>
      <c r="G228" s="13">
        <f>IFERROR(VLOOKUP(B228, 'Price Data'!A:D, 3, FALSE) * VLOOKUP(B228, 'Price Data'!A:D, 4, FALSE) * C228, "")</f>
        <v/>
      </c>
    </row>
    <row r="229">
      <c r="A229" s="3" t="n">
        <v>45733</v>
      </c>
      <c r="B229" t="inlineStr">
        <is>
          <t>ING-142</t>
        </is>
      </c>
      <c r="C229" t="n">
        <v>1</v>
      </c>
      <c r="D229" t="inlineStr">
        <is>
          <t>Expiring</t>
        </is>
      </c>
      <c r="E229" t="inlineStr">
        <is>
          <t>Yes</t>
        </is>
      </c>
      <c r="F229" t="inlineStr">
        <is>
          <t>Freeze (req)</t>
        </is>
      </c>
      <c r="G229" s="13">
        <f>IFERROR(VLOOKUP(B229, 'Price Data'!A:D, 3, FALSE) * VLOOKUP(B229, 'Price Data'!A:D, 4, FALSE) * C229, "")</f>
        <v/>
      </c>
    </row>
    <row r="230">
      <c r="A230" s="3" t="n">
        <v>45733</v>
      </c>
      <c r="B230" t="inlineStr">
        <is>
          <t>ING-006</t>
        </is>
      </c>
      <c r="C230" t="n">
        <v>2.5</v>
      </c>
      <c r="D230" t="inlineStr">
        <is>
          <t>Expiring</t>
        </is>
      </c>
      <c r="E230" t="inlineStr">
        <is>
          <t>Strong Maybe</t>
        </is>
      </c>
      <c r="F230" t="inlineStr">
        <is>
          <t>Freeze (req) | Seafood</t>
        </is>
      </c>
      <c r="G230" s="13">
        <f>IFERROR(VLOOKUP(B230, 'Price Data'!A:D, 3, FALSE) * VLOOKUP(B230, 'Price Data'!A:D, 4, FALSE) * C230, "")</f>
        <v/>
      </c>
    </row>
    <row r="231">
      <c r="A231" s="3" t="n">
        <v>45733</v>
      </c>
      <c r="B231" t="inlineStr">
        <is>
          <t>ING-148</t>
        </is>
      </c>
      <c r="C231" t="n">
        <v>1</v>
      </c>
      <c r="D231" t="inlineStr">
        <is>
          <t>Hot Hold</t>
        </is>
      </c>
      <c r="E231" t="inlineStr">
        <is>
          <t>Maybe</t>
        </is>
      </c>
      <c r="F231" s="2" t="inlineStr">
        <is>
          <t>Temp. logs req.</t>
        </is>
      </c>
      <c r="G231" s="13">
        <f>IFERROR(VLOOKUP(B231, 'Price Data'!A:D, 3, FALSE) * VLOOKUP(B231, 'Price Data'!A:D, 4, FALSE) * C231, "")</f>
        <v/>
      </c>
    </row>
    <row r="232">
      <c r="A232" s="1" t="n">
        <v>45736</v>
      </c>
      <c r="B232" t="inlineStr">
        <is>
          <t>ING-148</t>
        </is>
      </c>
      <c r="C232" t="n">
        <v>1.5</v>
      </c>
      <c r="D232" t="inlineStr">
        <is>
          <t>Hot Hold</t>
        </is>
      </c>
      <c r="E232" t="inlineStr">
        <is>
          <t>Maybe</t>
        </is>
      </c>
      <c r="F232" t="inlineStr">
        <is>
          <t>Temp. logs req.</t>
        </is>
      </c>
      <c r="G232" s="13">
        <f>IFERROR(VLOOKUP(B232, 'Price Data'!A:D, 3, FALSE) * VLOOKUP(B232, 'Price Data'!A:D, 4, FALSE) * C232, "")</f>
        <v/>
      </c>
    </row>
    <row r="233">
      <c r="A233" s="1" t="n">
        <v>45736</v>
      </c>
      <c r="B233" t="inlineStr">
        <is>
          <t>ING-076</t>
        </is>
      </c>
      <c r="C233" t="n">
        <v>1.5</v>
      </c>
      <c r="D233" t="inlineStr">
        <is>
          <t>Hot Hold</t>
        </is>
      </c>
      <c r="E233" t="inlineStr">
        <is>
          <t>Weak Maybe</t>
        </is>
      </c>
      <c r="F233" t="inlineStr">
        <is>
          <t>Temp. logs req.</t>
        </is>
      </c>
      <c r="G233" s="13">
        <f>IFERROR(VLOOKUP(B233, 'Price Data'!A:D, 3, FALSE) * VLOOKUP(B233, 'Price Data'!A:D, 4, FALSE) * C233, "")</f>
        <v/>
      </c>
    </row>
    <row r="234">
      <c r="A234" s="1" t="n">
        <v>45736</v>
      </c>
      <c r="B234" t="inlineStr">
        <is>
          <t>ING-148</t>
        </is>
      </c>
      <c r="C234" t="n">
        <v>1.5</v>
      </c>
      <c r="D234" t="inlineStr">
        <is>
          <t>Hot Hold</t>
        </is>
      </c>
      <c r="E234" t="inlineStr">
        <is>
          <t>Maybe</t>
        </is>
      </c>
      <c r="F234" t="inlineStr">
        <is>
          <t>Temp. logs req.</t>
        </is>
      </c>
      <c r="G234" s="13">
        <f>IFERROR(VLOOKUP(B234, 'Price Data'!A:D, 3, FALSE) * VLOOKUP(B234, 'Price Data'!A:D, 4, FALSE) * C234, "")</f>
        <v/>
      </c>
    </row>
    <row r="235">
      <c r="A235" s="1" t="n">
        <v>45736</v>
      </c>
      <c r="B235" t="inlineStr">
        <is>
          <t>ING-028</t>
        </is>
      </c>
      <c r="C235" t="n">
        <v>1.5</v>
      </c>
      <c r="D235" t="inlineStr">
        <is>
          <t>Hot Hold</t>
        </is>
      </c>
      <c r="E235" t="inlineStr">
        <is>
          <t>No</t>
        </is>
      </c>
      <c r="F235" s="2" t="inlineStr">
        <is>
          <t>No Date | Temp. logs req.</t>
        </is>
      </c>
      <c r="G235" s="13">
        <f>IFERROR(VLOOKUP(B235, 'Price Data'!A:D, 3, FALSE) * VLOOKUP(B235, 'Price Data'!A:D, 4, FALSE) * C235, "")</f>
        <v/>
      </c>
    </row>
    <row r="236">
      <c r="A236" s="1" t="n">
        <v>45736</v>
      </c>
      <c r="B236" t="inlineStr">
        <is>
          <t>ING-128</t>
        </is>
      </c>
      <c r="C236" t="n">
        <v>1</v>
      </c>
      <c r="D236" t="inlineStr">
        <is>
          <t>Hot Hold</t>
        </is>
      </c>
      <c r="E236" t="inlineStr">
        <is>
          <t>No</t>
        </is>
      </c>
      <c r="F236" s="2" t="inlineStr">
        <is>
          <t>Temp. logs req., Cut produce</t>
        </is>
      </c>
      <c r="G236" s="13">
        <f>IFERROR(VLOOKUP(B236, 'Price Data'!A:D, 3, FALSE) * VLOOKUP(B236, 'Price Data'!A:D, 4, FALSE) * C236, "")</f>
        <v/>
      </c>
    </row>
    <row r="237">
      <c r="A237" s="1" t="n">
        <v>45736</v>
      </c>
      <c r="B237" t="inlineStr">
        <is>
          <t>ING-056</t>
        </is>
      </c>
      <c r="C237" t="n">
        <v>3.5</v>
      </c>
      <c r="D237" s="2" t="inlineStr">
        <is>
          <t>Hot Hold</t>
        </is>
      </c>
      <c r="E237" t="inlineStr">
        <is>
          <t>No</t>
        </is>
      </c>
      <c r="F237" t="inlineStr">
        <is>
          <t>Temp. logs req. | Cooked produce | Minimal Utility</t>
        </is>
      </c>
      <c r="G237" s="13">
        <f>IFERROR(VLOOKUP(B237, 'Price Data'!A:D, 3, FALSE) * VLOOKUP(B237, 'Price Data'!A:D, 4, FALSE) * C237, "")</f>
        <v/>
      </c>
    </row>
    <row r="238">
      <c r="A238" s="1" t="n">
        <v>45736</v>
      </c>
      <c r="B238" t="inlineStr">
        <is>
          <t>ING-028</t>
        </is>
      </c>
      <c r="C238" t="n">
        <v>3.5</v>
      </c>
      <c r="D238" t="inlineStr">
        <is>
          <t>Hot Hold</t>
        </is>
      </c>
      <c r="E238" t="inlineStr">
        <is>
          <t>No</t>
        </is>
      </c>
      <c r="F238" s="2" t="inlineStr">
        <is>
          <t>No Date | Temp. logs req.</t>
        </is>
      </c>
      <c r="G238" s="13">
        <f>IFERROR(VLOOKUP(B238, 'Price Data'!A:D, 3, FALSE) * VLOOKUP(B238, 'Price Data'!A:D, 4, FALSE) * C238, "")</f>
        <v/>
      </c>
    </row>
    <row r="239">
      <c r="A239" s="1" t="n">
        <v>45736</v>
      </c>
      <c r="B239" t="inlineStr">
        <is>
          <t>ING-141</t>
        </is>
      </c>
      <c r="C239" t="n">
        <v>5</v>
      </c>
      <c r="D239" t="inlineStr">
        <is>
          <t>Expiring</t>
        </is>
      </c>
      <c r="E239" t="inlineStr">
        <is>
          <t>Yes</t>
        </is>
      </c>
      <c r="F239" t="inlineStr">
        <is>
          <t>Freeze (rec)</t>
        </is>
      </c>
      <c r="G239" s="13">
        <f>IFERROR(VLOOKUP(B239, 'Price Data'!A:D, 3, FALSE) * VLOOKUP(B239, 'Price Data'!A:D, 4, FALSE) * C239, "")</f>
        <v/>
      </c>
    </row>
    <row r="240">
      <c r="A240" s="1" t="n">
        <v>45736</v>
      </c>
      <c r="B240" t="inlineStr">
        <is>
          <t>ING-028</t>
        </is>
      </c>
      <c r="C240" t="n">
        <v>2</v>
      </c>
      <c r="D240" t="inlineStr">
        <is>
          <t>Hot Hold</t>
        </is>
      </c>
      <c r="E240" t="inlineStr">
        <is>
          <t>No</t>
        </is>
      </c>
      <c r="F240" t="inlineStr">
        <is>
          <t>No Date | Temp. logs req.</t>
        </is>
      </c>
      <c r="G240" s="13">
        <f>IFERROR(VLOOKUP(B240, 'Price Data'!A:D, 3, FALSE) * VLOOKUP(B240, 'Price Data'!A:D, 4, FALSE) * C240, "")</f>
        <v/>
      </c>
    </row>
    <row r="241">
      <c r="A241" s="1" t="n">
        <v>45736</v>
      </c>
      <c r="B241" t="inlineStr">
        <is>
          <t>ING-076</t>
        </is>
      </c>
      <c r="C241" t="n">
        <v>1.5</v>
      </c>
      <c r="D241" t="inlineStr">
        <is>
          <t>Hot Hold</t>
        </is>
      </c>
      <c r="E241" t="inlineStr">
        <is>
          <t>Weak Maybe</t>
        </is>
      </c>
      <c r="F241" t="inlineStr">
        <is>
          <t>Temp. logs req.</t>
        </is>
      </c>
      <c r="G241" s="13">
        <f>IFERROR(VLOOKUP(B241, 'Price Data'!A:D, 3, FALSE) * VLOOKUP(B241, 'Price Data'!A:D, 4, FALSE) * C241, "")</f>
        <v/>
      </c>
    </row>
    <row r="242">
      <c r="A242" s="1" t="n">
        <v>45736</v>
      </c>
      <c r="B242" t="inlineStr">
        <is>
          <t>ING-090</t>
        </is>
      </c>
      <c r="C242" t="n">
        <v>3.5</v>
      </c>
      <c r="D242" t="inlineStr">
        <is>
          <t>Expiring</t>
        </is>
      </c>
      <c r="E242" t="inlineStr">
        <is>
          <t>Strong Maybe</t>
        </is>
      </c>
      <c r="F242" t="inlineStr">
        <is>
          <t xml:space="preserve">Freeze (rec) </t>
        </is>
      </c>
      <c r="G242" s="13">
        <f>IFERROR(VLOOKUP(B242, 'Price Data'!A:D, 3, FALSE) * VLOOKUP(B242, 'Price Data'!A:D, 4, FALSE) * C242, "")</f>
        <v/>
      </c>
    </row>
    <row r="243">
      <c r="A243" s="1" t="n">
        <v>45736</v>
      </c>
      <c r="B243" t="inlineStr">
        <is>
          <t>ING-082</t>
        </is>
      </c>
      <c r="C243" t="n">
        <v>1.5</v>
      </c>
      <c r="D243" t="inlineStr">
        <is>
          <t>Expiring</t>
        </is>
      </c>
      <c r="E243" t="inlineStr">
        <is>
          <t>No</t>
        </is>
      </c>
      <c r="F243" t="inlineStr">
        <is>
          <t>Minimal Utility</t>
        </is>
      </c>
      <c r="G243" s="13">
        <f>IFERROR(VLOOKUP(B243, 'Price Data'!A:D, 3, FALSE) * VLOOKUP(B243, 'Price Data'!A:D, 4, FALSE) * C243, "")</f>
        <v/>
      </c>
    </row>
    <row r="244">
      <c r="A244" s="1" t="n">
        <v>45736</v>
      </c>
      <c r="B244" t="inlineStr">
        <is>
          <t>ING-172</t>
        </is>
      </c>
      <c r="C244" t="n">
        <v>2.5</v>
      </c>
      <c r="D244" t="inlineStr">
        <is>
          <t>Expiring</t>
        </is>
      </c>
      <c r="E244" t="inlineStr">
        <is>
          <t>Yes</t>
        </is>
      </c>
      <c r="F244" t="inlineStr">
        <is>
          <t>Freeze (rec)</t>
        </is>
      </c>
      <c r="G244" s="13">
        <f>IFERROR(VLOOKUP(B244, 'Price Data'!A:D, 3, FALSE) * VLOOKUP(B244, 'Price Data'!A:D, 4, FALSE) * C244, "")</f>
        <v/>
      </c>
    </row>
    <row r="245">
      <c r="A245" s="1" t="n">
        <v>45736</v>
      </c>
      <c r="B245" t="inlineStr">
        <is>
          <t>ING-019</t>
        </is>
      </c>
      <c r="C245" t="n">
        <v>0.5</v>
      </c>
      <c r="D245" t="inlineStr">
        <is>
          <t>Expiring</t>
        </is>
      </c>
      <c r="E245" t="inlineStr">
        <is>
          <t>No</t>
        </is>
      </c>
      <c r="G245" s="13">
        <f>IFERROR(VLOOKUP(B245, 'Price Data'!A:D, 3, FALSE) * VLOOKUP(B245, 'Price Data'!A:D, 4, FALSE) * C245, "")</f>
        <v/>
      </c>
    </row>
    <row r="246">
      <c r="A246" s="1" t="n">
        <v>45736</v>
      </c>
      <c r="B246" t="inlineStr">
        <is>
          <t>ING-152</t>
        </is>
      </c>
      <c r="C246" t="n">
        <v>1</v>
      </c>
      <c r="D246" t="inlineStr">
        <is>
          <t>Hot Hold</t>
        </is>
      </c>
      <c r="E246" t="inlineStr">
        <is>
          <t>Weak Maybe</t>
        </is>
      </c>
      <c r="F246" s="2" t="inlineStr">
        <is>
          <t>Temp. logs req.</t>
        </is>
      </c>
      <c r="G246" s="13">
        <f>IFERROR(VLOOKUP(B246, 'Price Data'!A:D, 3, FALSE) * VLOOKUP(B246, 'Price Data'!A:D, 4, FALSE) * C246, "")</f>
        <v/>
      </c>
    </row>
    <row r="247">
      <c r="A247" s="1" t="n">
        <v>45736</v>
      </c>
      <c r="B247" t="inlineStr">
        <is>
          <t>ING-056</t>
        </is>
      </c>
      <c r="C247" t="n">
        <v>1</v>
      </c>
      <c r="D247" t="inlineStr">
        <is>
          <t>Hot Hold</t>
        </is>
      </c>
      <c r="E247" t="inlineStr">
        <is>
          <t>No</t>
        </is>
      </c>
      <c r="F247" t="inlineStr">
        <is>
          <t>Temp. logs req. | Cooked produce | Minimal Utility</t>
        </is>
      </c>
      <c r="G247" s="13">
        <f>IFERROR(VLOOKUP(B247, 'Price Data'!A:D, 3, FALSE) * VLOOKUP(B247, 'Price Data'!A:D, 4, FALSE) * C247, "")</f>
        <v/>
      </c>
    </row>
    <row r="248">
      <c r="A248" s="1" t="n">
        <v>45736</v>
      </c>
      <c r="B248" t="inlineStr">
        <is>
          <t>ING-076</t>
        </is>
      </c>
      <c r="C248" t="n">
        <v>1.5</v>
      </c>
      <c r="D248" t="inlineStr">
        <is>
          <t>Hot Hold</t>
        </is>
      </c>
      <c r="E248" t="inlineStr">
        <is>
          <t>Weak Maybe</t>
        </is>
      </c>
      <c r="F248" s="2" t="inlineStr">
        <is>
          <t>Temp. logs req.</t>
        </is>
      </c>
      <c r="G248" s="13">
        <f>IFERROR(VLOOKUP(B248, 'Price Data'!A:D, 3, FALSE) * VLOOKUP(B248, 'Price Data'!A:D, 4, FALSE) * C248, "")</f>
        <v/>
      </c>
    </row>
    <row r="249">
      <c r="A249" s="1" t="n">
        <v>45736</v>
      </c>
      <c r="B249" t="inlineStr">
        <is>
          <t>ING-159</t>
        </is>
      </c>
      <c r="C249" t="n">
        <v>2.5</v>
      </c>
      <c r="D249" t="inlineStr">
        <is>
          <t>Hot Hold</t>
        </is>
      </c>
      <c r="E249" t="inlineStr">
        <is>
          <t>Maybe</t>
        </is>
      </c>
      <c r="F249" s="2" t="inlineStr">
        <is>
          <t>Temp. logs req.</t>
        </is>
      </c>
      <c r="G249" s="13">
        <f>IFERROR(VLOOKUP(B249, 'Price Data'!A:D, 3, FALSE) * VLOOKUP(B249, 'Price Data'!A:D, 4, FALSE) * C249, "")</f>
        <v/>
      </c>
    </row>
    <row r="250">
      <c r="A250" s="1" t="n">
        <v>45736</v>
      </c>
      <c r="B250" t="inlineStr">
        <is>
          <t>ING-049</t>
        </is>
      </c>
      <c r="C250" t="n">
        <v>0.5</v>
      </c>
      <c r="D250" t="inlineStr">
        <is>
          <t>Hot Hold</t>
        </is>
      </c>
      <c r="E250" t="inlineStr">
        <is>
          <t>No</t>
        </is>
      </c>
      <c r="F250" t="inlineStr">
        <is>
          <t>Minimal Utility</t>
        </is>
      </c>
      <c r="G250" s="13">
        <f>IFERROR(VLOOKUP(B250, 'Price Data'!A:D, 3, FALSE) * VLOOKUP(B250, 'Price Data'!A:D, 4, FALSE) * C250, "")</f>
        <v/>
      </c>
    </row>
    <row r="251">
      <c r="A251" s="1" t="n">
        <v>45736</v>
      </c>
      <c r="B251" t="inlineStr">
        <is>
          <t>ING-016</t>
        </is>
      </c>
      <c r="C251" t="n">
        <v>1</v>
      </c>
      <c r="D251" t="inlineStr">
        <is>
          <t>Expiring</t>
        </is>
      </c>
      <c r="E251" t="inlineStr">
        <is>
          <t>Strong Maybe</t>
        </is>
      </c>
      <c r="F251" s="2" t="inlineStr">
        <is>
          <t>Freeze (req) | Seafood</t>
        </is>
      </c>
      <c r="G251" s="13">
        <f>IFERROR(VLOOKUP(B251, 'Price Data'!A:D, 3, FALSE) * VLOOKUP(B251, 'Price Data'!A:D, 4, FALSE) * C251, "")</f>
        <v/>
      </c>
    </row>
    <row r="252">
      <c r="A252" s="1" t="n">
        <v>45736</v>
      </c>
      <c r="B252" t="inlineStr">
        <is>
          <t>ING-129</t>
        </is>
      </c>
      <c r="C252" t="n">
        <v>1</v>
      </c>
      <c r="D252" t="inlineStr">
        <is>
          <t>Hot Hold</t>
        </is>
      </c>
      <c r="E252" t="inlineStr">
        <is>
          <t>Maybe</t>
        </is>
      </c>
      <c r="F252" t="inlineStr">
        <is>
          <t>Temp. logs req.</t>
        </is>
      </c>
      <c r="G252" s="13">
        <f>IFERROR(VLOOKUP(B252, 'Price Data'!A:D, 3, FALSE) * VLOOKUP(B252, 'Price Data'!A:D, 4, FALSE) * C252, "")</f>
        <v/>
      </c>
    </row>
    <row r="253">
      <c r="A253" s="1" t="n">
        <v>45736</v>
      </c>
      <c r="B253" t="inlineStr">
        <is>
          <t>ING-145</t>
        </is>
      </c>
      <c r="C253" t="n">
        <v>1</v>
      </c>
      <c r="D253" t="inlineStr">
        <is>
          <t>Hot Hold</t>
        </is>
      </c>
      <c r="E253" t="inlineStr">
        <is>
          <t>Maybe</t>
        </is>
      </c>
      <c r="F253" t="inlineStr">
        <is>
          <t>Temp. logs req.</t>
        </is>
      </c>
      <c r="G253" s="13">
        <f>IFERROR(VLOOKUP(B253, 'Price Data'!A:D, 3, FALSE) * VLOOKUP(B253, 'Price Data'!A:D, 4, FALSE) * C253, "")</f>
        <v/>
      </c>
    </row>
    <row r="254">
      <c r="A254" s="1" t="n">
        <v>45736</v>
      </c>
      <c r="B254" t="inlineStr">
        <is>
          <t>ING-055</t>
        </is>
      </c>
      <c r="C254" t="n">
        <v>5</v>
      </c>
      <c r="D254" t="inlineStr">
        <is>
          <t>Expiring</t>
        </is>
      </c>
      <c r="E254" t="inlineStr">
        <is>
          <t>Yes</t>
        </is>
      </c>
      <c r="F254" t="inlineStr">
        <is>
          <t xml:space="preserve">Freeze (rec) </t>
        </is>
      </c>
      <c r="G254" s="13">
        <f>IFERROR(VLOOKUP(B254, 'Price Data'!A:D, 3, FALSE) * VLOOKUP(B254, 'Price Data'!A:D, 4, FALSE) * C254, "")</f>
        <v/>
      </c>
    </row>
    <row r="255">
      <c r="A255" s="1" t="n">
        <v>45736</v>
      </c>
      <c r="B255" t="inlineStr">
        <is>
          <t>ING-045</t>
        </is>
      </c>
      <c r="C255" t="n">
        <v>2</v>
      </c>
      <c r="D255" t="inlineStr">
        <is>
          <t>Expiring</t>
        </is>
      </c>
      <c r="E255" t="inlineStr">
        <is>
          <t>Strong Maybe</t>
        </is>
      </c>
      <c r="F255" s="2" t="inlineStr">
        <is>
          <t>Cut produce | As is</t>
        </is>
      </c>
      <c r="G255" s="13">
        <f>IFERROR(VLOOKUP(B255, 'Price Data'!A:D, 3, FALSE) * VLOOKUP(B255, 'Price Data'!A:D, 4, FALSE) * C255, "")</f>
        <v/>
      </c>
    </row>
    <row r="256">
      <c r="A256" s="1" t="n">
        <v>45736</v>
      </c>
      <c r="B256" t="inlineStr">
        <is>
          <t>ING-061</t>
        </is>
      </c>
      <c r="C256" t="n">
        <v>1</v>
      </c>
      <c r="D256" t="inlineStr">
        <is>
          <t>Hot Hold</t>
        </is>
      </c>
      <c r="E256" t="inlineStr">
        <is>
          <t>Maybe</t>
        </is>
      </c>
      <c r="F256" t="inlineStr">
        <is>
          <t>Temp. logs req.</t>
        </is>
      </c>
      <c r="G256" s="13">
        <f>IFERROR(VLOOKUP(B256, 'Price Data'!A:D, 3, FALSE) * VLOOKUP(B256, 'Price Data'!A:D, 4, FALSE) * C256, "")</f>
        <v/>
      </c>
    </row>
    <row r="257">
      <c r="A257" s="1" t="n">
        <v>45736</v>
      </c>
      <c r="B257" t="inlineStr">
        <is>
          <t>ING-021</t>
        </is>
      </c>
      <c r="C257" t="n">
        <v>1.5</v>
      </c>
      <c r="D257" t="inlineStr">
        <is>
          <t>Hot Hold</t>
        </is>
      </c>
      <c r="E257" t="inlineStr">
        <is>
          <t>Maybe</t>
        </is>
      </c>
      <c r="F257" t="inlineStr">
        <is>
          <t>Temp. logs req.</t>
        </is>
      </c>
      <c r="G257" s="13">
        <f>IFERROR(VLOOKUP(B257, 'Price Data'!A:D, 3, FALSE) * VLOOKUP(B257, 'Price Data'!A:D, 4, FALSE) * C257, "")</f>
        <v/>
      </c>
    </row>
    <row r="258">
      <c r="A258" s="1" t="n">
        <v>45736</v>
      </c>
      <c r="B258" t="inlineStr">
        <is>
          <t>ING-042</t>
        </is>
      </c>
      <c r="C258" t="n">
        <v>1</v>
      </c>
      <c r="D258" t="inlineStr">
        <is>
          <t>Expiring</t>
        </is>
      </c>
      <c r="E258" t="inlineStr">
        <is>
          <t>no</t>
        </is>
      </c>
      <c r="F258" t="inlineStr">
        <is>
          <t>Minimal Utility</t>
        </is>
      </c>
      <c r="G258" s="13">
        <f>IFERROR(VLOOKUP(B258, 'Price Data'!A:D, 3, FALSE) * VLOOKUP(B258, 'Price Data'!A:D, 4, FALSE) * C258, "")</f>
        <v/>
      </c>
    </row>
    <row r="259">
      <c r="A259" s="1" t="n">
        <v>45736</v>
      </c>
      <c r="B259" t="inlineStr">
        <is>
          <t>ING-110</t>
        </is>
      </c>
      <c r="C259" t="n">
        <v>3</v>
      </c>
      <c r="D259" t="inlineStr">
        <is>
          <t>Expiring</t>
        </is>
      </c>
      <c r="E259" t="inlineStr">
        <is>
          <t>Yes</t>
        </is>
      </c>
      <c r="F259" s="2" t="inlineStr">
        <is>
          <t>Freeze (req)</t>
        </is>
      </c>
      <c r="G259" s="13">
        <f>IFERROR(VLOOKUP(B259, 'Price Data'!A:D, 3, FALSE) * VLOOKUP(B259, 'Price Data'!A:D, 4, FALSE) * C259, "")</f>
        <v/>
      </c>
    </row>
    <row r="260">
      <c r="A260" s="1" t="n">
        <v>45736</v>
      </c>
      <c r="B260" t="inlineStr">
        <is>
          <t>ING-097</t>
        </is>
      </c>
      <c r="C260" t="n">
        <v>3</v>
      </c>
      <c r="D260" t="inlineStr">
        <is>
          <t>Hot Hold</t>
        </is>
      </c>
      <c r="E260" t="inlineStr">
        <is>
          <t>Weak Maybe</t>
        </is>
      </c>
      <c r="F260" t="inlineStr">
        <is>
          <t>Temp. logs req. | Minimal Utility</t>
        </is>
      </c>
      <c r="G260" s="13">
        <f>IFERROR(VLOOKUP(B260, 'Price Data'!A:D, 3, FALSE) * VLOOKUP(B260, 'Price Data'!A:D, 4, FALSE) * C260, "")</f>
        <v/>
      </c>
    </row>
    <row r="261">
      <c r="A261" s="1" t="n">
        <v>45736</v>
      </c>
      <c r="B261" t="inlineStr">
        <is>
          <t>ING-160</t>
        </is>
      </c>
      <c r="C261" t="n">
        <v>0.5</v>
      </c>
      <c r="D261" t="inlineStr">
        <is>
          <t>Expiring</t>
        </is>
      </c>
      <c r="E261" t="inlineStr">
        <is>
          <t>No</t>
        </is>
      </c>
      <c r="F261" s="2" t="inlineStr">
        <is>
          <t>No tamper-proof seal</t>
        </is>
      </c>
      <c r="G261" s="13">
        <f>IFERROR(VLOOKUP(B261, 'Price Data'!A:D, 3, FALSE) * VLOOKUP(B261, 'Price Data'!A:D, 4, FALSE) * C261, "")</f>
        <v/>
      </c>
    </row>
    <row r="262">
      <c r="A262" s="1" t="n">
        <v>45736</v>
      </c>
      <c r="B262" t="inlineStr">
        <is>
          <t>ING-121</t>
        </is>
      </c>
      <c r="C262" t="n">
        <v>1</v>
      </c>
      <c r="D262" t="inlineStr">
        <is>
          <t>Expiring</t>
        </is>
      </c>
      <c r="E262" t="inlineStr">
        <is>
          <t>Weak Maybe</t>
        </is>
      </c>
      <c r="F262" s="2" t="n"/>
      <c r="G262" s="13">
        <f>IFERROR(VLOOKUP(B262, 'Price Data'!A:D, 3, FALSE) * VLOOKUP(B262, 'Price Data'!A:D, 4, FALSE) * C262, "")</f>
        <v/>
      </c>
    </row>
    <row r="263">
      <c r="A263" s="3" t="n">
        <v>45736</v>
      </c>
      <c r="B263" t="inlineStr">
        <is>
          <t>ING-128</t>
        </is>
      </c>
      <c r="C263" t="n">
        <v>2</v>
      </c>
      <c r="D263" t="inlineStr">
        <is>
          <t>Expiring</t>
        </is>
      </c>
      <c r="E263" t="inlineStr">
        <is>
          <t>Weak Maybe</t>
        </is>
      </c>
      <c r="F263" t="inlineStr">
        <is>
          <t>Cut produce</t>
        </is>
      </c>
      <c r="G263" s="13">
        <f>IFERROR(VLOOKUP(B263, 'Price Data'!A:D, 3, FALSE) * VLOOKUP(B263, 'Price Data'!A:D, 4, FALSE) * C263, "")</f>
        <v/>
      </c>
    </row>
    <row r="264">
      <c r="A264" s="3" t="n">
        <v>45736</v>
      </c>
      <c r="B264" t="inlineStr">
        <is>
          <t>ING-115</t>
        </is>
      </c>
      <c r="C264" t="n">
        <v>0.5</v>
      </c>
      <c r="D264" t="inlineStr">
        <is>
          <t>Expiring</t>
        </is>
      </c>
      <c r="E264" t="inlineStr">
        <is>
          <t>No</t>
        </is>
      </c>
      <c r="F264" t="inlineStr">
        <is>
          <t>No tamper-proof seal, Freeze (req) | Seafood</t>
        </is>
      </c>
      <c r="G264" s="13">
        <f>IFERROR(VLOOKUP(B264, 'Price Data'!A:D, 3, FALSE) * VLOOKUP(B264, 'Price Data'!A:D, 4, FALSE) * C264, "")</f>
        <v/>
      </c>
    </row>
    <row r="265">
      <c r="A265" s="3" t="n">
        <v>45736</v>
      </c>
      <c r="B265" t="inlineStr">
        <is>
          <t>ING-072</t>
        </is>
      </c>
      <c r="C265" t="n">
        <v>1.5</v>
      </c>
      <c r="D265" t="inlineStr">
        <is>
          <t>Hot Hold</t>
        </is>
      </c>
      <c r="E265" t="inlineStr">
        <is>
          <t>Maybe</t>
        </is>
      </c>
      <c r="F265" t="inlineStr">
        <is>
          <t>Freeze (req)</t>
        </is>
      </c>
      <c r="G265" s="13">
        <f>IFERROR(VLOOKUP(B265, 'Price Data'!A:D, 3, FALSE) * VLOOKUP(B265, 'Price Data'!A:D, 4, FALSE) * C265, "")</f>
        <v/>
      </c>
    </row>
    <row r="266">
      <c r="A266" s="3" t="n">
        <v>45741</v>
      </c>
      <c r="B266" t="inlineStr">
        <is>
          <t>ING-049</t>
        </is>
      </c>
      <c r="C266" t="n">
        <v>2</v>
      </c>
      <c r="D266" t="inlineStr">
        <is>
          <t>Expiring</t>
        </is>
      </c>
      <c r="E266" t="inlineStr">
        <is>
          <t>No</t>
        </is>
      </c>
      <c r="F266" t="inlineStr">
        <is>
          <t>Minimal Utility</t>
        </is>
      </c>
      <c r="G266" s="13">
        <f>IFERROR(VLOOKUP(B266, 'Price Data'!A:D, 3, FALSE) * VLOOKUP(B266, 'Price Data'!A:D, 4, FALSE) * C266, "")</f>
        <v/>
      </c>
    </row>
    <row r="267">
      <c r="A267" s="3" t="n">
        <v>45741</v>
      </c>
      <c r="B267" t="inlineStr">
        <is>
          <t>ING-172</t>
        </is>
      </c>
      <c r="C267" t="n">
        <v>0.5</v>
      </c>
      <c r="D267" t="inlineStr">
        <is>
          <t>Expiring</t>
        </is>
      </c>
      <c r="E267" t="inlineStr">
        <is>
          <t>Yes</t>
        </is>
      </c>
      <c r="F267" t="inlineStr">
        <is>
          <t>Freeze (rec)</t>
        </is>
      </c>
      <c r="G267" s="13">
        <f>IFERROR(VLOOKUP(B267, 'Price Data'!A:D, 3, FALSE) * VLOOKUP(B267, 'Price Data'!A:D, 4, FALSE) * C267, "")</f>
        <v/>
      </c>
    </row>
    <row r="268">
      <c r="A268" s="3" t="n">
        <v>45741</v>
      </c>
      <c r="B268" t="inlineStr">
        <is>
          <t>ING-048</t>
        </is>
      </c>
      <c r="C268" t="n">
        <v>0.5</v>
      </c>
      <c r="D268" t="inlineStr">
        <is>
          <t>Expiring</t>
        </is>
      </c>
      <c r="E268" t="inlineStr">
        <is>
          <t>Maybe</t>
        </is>
      </c>
      <c r="F268" t="inlineStr">
        <is>
          <t>Freeze (req), No tamper-proof seal</t>
        </is>
      </c>
      <c r="G268" s="13">
        <f>IFERROR(VLOOKUP(B268, 'Price Data'!A:D, 3, FALSE) * VLOOKUP(B268, 'Price Data'!A:D, 4, FALSE) * C268, "")</f>
        <v/>
      </c>
    </row>
    <row r="269">
      <c r="A269" s="3" t="n">
        <v>45741</v>
      </c>
      <c r="B269" t="inlineStr">
        <is>
          <t>ING-021</t>
        </is>
      </c>
      <c r="C269" t="n">
        <v>1</v>
      </c>
      <c r="D269" t="inlineStr">
        <is>
          <t>Hot Hold</t>
        </is>
      </c>
      <c r="E269" t="inlineStr">
        <is>
          <t>Maybe</t>
        </is>
      </c>
      <c r="F269" t="inlineStr">
        <is>
          <t>Temp. logs req.</t>
        </is>
      </c>
      <c r="G269" s="13">
        <f>IFERROR(VLOOKUP(B269, 'Price Data'!A:D, 3, FALSE) * VLOOKUP(B269, 'Price Data'!A:D, 4, FALSE) * C269, "")</f>
        <v/>
      </c>
    </row>
    <row r="270">
      <c r="A270" s="3" t="n">
        <v>45741</v>
      </c>
      <c r="B270" t="inlineStr">
        <is>
          <t>ING-022</t>
        </is>
      </c>
      <c r="C270" t="n">
        <v>0.5</v>
      </c>
      <c r="D270" t="inlineStr">
        <is>
          <t>Expiring</t>
        </is>
      </c>
      <c r="E270" t="inlineStr">
        <is>
          <t>No</t>
        </is>
      </c>
      <c r="F270" s="2" t="inlineStr">
        <is>
          <t>No tamper-proof seal</t>
        </is>
      </c>
      <c r="G270" s="13">
        <f>IFERROR(VLOOKUP(B270, 'Price Data'!A:D, 3, FALSE) * VLOOKUP(B270, 'Price Data'!A:D, 4, FALSE) * C270, "")</f>
        <v/>
      </c>
    </row>
    <row r="271">
      <c r="A271" s="3" t="n">
        <v>45741</v>
      </c>
      <c r="B271" t="inlineStr">
        <is>
          <t>ING-021</t>
        </is>
      </c>
      <c r="C271" t="n">
        <v>1</v>
      </c>
      <c r="D271" t="inlineStr">
        <is>
          <t>Hot Hold</t>
        </is>
      </c>
      <c r="E271" t="inlineStr">
        <is>
          <t>Maybe</t>
        </is>
      </c>
      <c r="F271" t="inlineStr">
        <is>
          <t>Temp. logs req.</t>
        </is>
      </c>
      <c r="G271" s="13">
        <f>IFERROR(VLOOKUP(B271, 'Price Data'!A:D, 3, FALSE) * VLOOKUP(B271, 'Price Data'!A:D, 4, FALSE) * C271, "")</f>
        <v/>
      </c>
    </row>
    <row r="272">
      <c r="A272" s="3" t="n">
        <v>45741</v>
      </c>
      <c r="B272" t="inlineStr">
        <is>
          <t>ING-015</t>
        </is>
      </c>
      <c r="C272" t="n">
        <v>0.5</v>
      </c>
      <c r="D272" t="inlineStr">
        <is>
          <t>Expiring</t>
        </is>
      </c>
      <c r="E272" t="inlineStr">
        <is>
          <t>No</t>
        </is>
      </c>
      <c r="F272" t="inlineStr">
        <is>
          <t>No tamper-proof seal</t>
        </is>
      </c>
      <c r="G272" s="13">
        <f>IFERROR(VLOOKUP(B272, 'Price Data'!A:D, 3, FALSE) * VLOOKUP(B272, 'Price Data'!A:D, 4, FALSE) * C272, "")</f>
        <v/>
      </c>
    </row>
    <row r="273">
      <c r="A273" s="3" t="n">
        <v>45741</v>
      </c>
      <c r="B273" t="inlineStr">
        <is>
          <t>ING-028</t>
        </is>
      </c>
      <c r="C273" t="n">
        <v>7.5</v>
      </c>
      <c r="D273" t="inlineStr">
        <is>
          <t>Hot Hold</t>
        </is>
      </c>
      <c r="E273" t="inlineStr">
        <is>
          <t>No</t>
        </is>
      </c>
      <c r="F273" t="inlineStr">
        <is>
          <t>No Date | Temp. logs req.</t>
        </is>
      </c>
      <c r="G273" s="13">
        <f>IFERROR(VLOOKUP(B273, 'Price Data'!A:D, 3, FALSE) * VLOOKUP(B273, 'Price Data'!A:D, 4, FALSE) * C273, "")</f>
        <v/>
      </c>
    </row>
    <row r="274">
      <c r="A274" s="3" t="n">
        <v>45741</v>
      </c>
      <c r="B274" t="inlineStr">
        <is>
          <t>ING-035</t>
        </is>
      </c>
      <c r="C274" t="n">
        <v>0.5</v>
      </c>
      <c r="D274" t="inlineStr">
        <is>
          <t>Expiring</t>
        </is>
      </c>
      <c r="E274" t="inlineStr">
        <is>
          <t>No</t>
        </is>
      </c>
      <c r="F274" t="inlineStr">
        <is>
          <t>Cut produce | No tamper-proof seal</t>
        </is>
      </c>
      <c r="G274" s="13">
        <f>IFERROR(VLOOKUP(B274, 'Price Data'!A:D, 3, FALSE) * VLOOKUP(B274, 'Price Data'!A:D, 4, FALSE) * C274, "")</f>
        <v/>
      </c>
    </row>
    <row r="275">
      <c r="A275" s="3" t="n">
        <v>45741</v>
      </c>
      <c r="B275" t="inlineStr">
        <is>
          <t>ING-068</t>
        </is>
      </c>
      <c r="C275" t="n">
        <v>1</v>
      </c>
      <c r="D275" t="inlineStr">
        <is>
          <t>Hot Hold</t>
        </is>
      </c>
      <c r="E275" t="inlineStr">
        <is>
          <t>Maybe</t>
        </is>
      </c>
      <c r="F275" t="inlineStr">
        <is>
          <t>Temp. logs req.</t>
        </is>
      </c>
      <c r="G275" s="13">
        <f>IFERROR(VLOOKUP(B275, 'Price Data'!A:D, 3, FALSE) * VLOOKUP(B275, 'Price Data'!A:D, 4, FALSE) * C275, "")</f>
        <v/>
      </c>
    </row>
    <row r="276">
      <c r="A276" s="3" t="n">
        <v>45741</v>
      </c>
      <c r="B276" t="inlineStr">
        <is>
          <t>ING-157</t>
        </is>
      </c>
      <c r="C276" t="n">
        <v>3</v>
      </c>
      <c r="D276" t="inlineStr">
        <is>
          <t>Hot Hold</t>
        </is>
      </c>
      <c r="E276" t="inlineStr">
        <is>
          <t>Weak Maybe</t>
        </is>
      </c>
      <c r="F276" s="2" t="inlineStr">
        <is>
          <t>Temp. logs req.</t>
        </is>
      </c>
      <c r="G276" s="13">
        <f>IFERROR(VLOOKUP(B276, 'Price Data'!A:D, 3, FALSE) * VLOOKUP(B276, 'Price Data'!A:D, 4, FALSE) * C276, "")</f>
        <v/>
      </c>
    </row>
    <row r="277">
      <c r="A277" s="3" t="n">
        <v>45741</v>
      </c>
      <c r="B277" t="inlineStr">
        <is>
          <t>ING-017</t>
        </is>
      </c>
      <c r="C277" t="n">
        <v>1</v>
      </c>
      <c r="D277" t="inlineStr">
        <is>
          <t>Expiring</t>
        </is>
      </c>
      <c r="E277" t="inlineStr">
        <is>
          <t>No</t>
        </is>
      </c>
      <c r="F277" t="inlineStr">
        <is>
          <t>Minimal Utility</t>
        </is>
      </c>
      <c r="G277" s="13">
        <f>IFERROR(VLOOKUP(B277, 'Price Data'!A:D, 3, FALSE) * VLOOKUP(B277, 'Price Data'!A:D, 4, FALSE) * C277, "")</f>
        <v/>
      </c>
    </row>
    <row r="278">
      <c r="A278" s="3" t="n">
        <v>45741</v>
      </c>
      <c r="B278" t="inlineStr">
        <is>
          <t>ING-157</t>
        </is>
      </c>
      <c r="C278" t="n">
        <v>3.5</v>
      </c>
      <c r="D278" t="inlineStr">
        <is>
          <t>Hot Hold</t>
        </is>
      </c>
      <c r="E278" t="inlineStr">
        <is>
          <t>Maybe</t>
        </is>
      </c>
      <c r="F278" t="inlineStr">
        <is>
          <t>Temp. logs req.</t>
        </is>
      </c>
      <c r="G278" s="13">
        <f>IFERROR(VLOOKUP(B278, 'Price Data'!A:D, 3, FALSE) * VLOOKUP(B278, 'Price Data'!A:D, 4, FALSE) * C278, "")</f>
        <v/>
      </c>
    </row>
    <row r="279">
      <c r="A279" s="3" t="n">
        <v>45741</v>
      </c>
      <c r="B279" t="inlineStr">
        <is>
          <t>ING-056</t>
        </is>
      </c>
      <c r="C279" t="n">
        <v>6.5</v>
      </c>
      <c r="D279" t="inlineStr">
        <is>
          <t>Hot Hold</t>
        </is>
      </c>
      <c r="E279" t="inlineStr">
        <is>
          <t>No</t>
        </is>
      </c>
      <c r="F279" t="inlineStr">
        <is>
          <t>Temp. logs req. | Cooked produce | Minimal Utility</t>
        </is>
      </c>
      <c r="G279" s="13">
        <f>IFERROR(VLOOKUP(B279, 'Price Data'!A:D, 3, FALSE) * VLOOKUP(B279, 'Price Data'!A:D, 4, FALSE) * C279, "")</f>
        <v/>
      </c>
    </row>
    <row r="280">
      <c r="A280" s="3" t="n">
        <v>45741</v>
      </c>
      <c r="B280" t="inlineStr">
        <is>
          <t>ING-007</t>
        </is>
      </c>
      <c r="C280" t="n">
        <v>0.5</v>
      </c>
      <c r="D280" t="inlineStr">
        <is>
          <t>Expiring</t>
        </is>
      </c>
      <c r="E280" t="inlineStr">
        <is>
          <t>No</t>
        </is>
      </c>
      <c r="F280" t="inlineStr">
        <is>
          <t>No tamper-proof seal</t>
        </is>
      </c>
      <c r="G280" s="13">
        <f>IFERROR(VLOOKUP(B280, 'Price Data'!A:D, 3, FALSE) * VLOOKUP(B280, 'Price Data'!A:D, 4, FALSE) * C280, "")</f>
        <v/>
      </c>
    </row>
    <row r="281">
      <c r="A281" s="3" t="n">
        <v>45741</v>
      </c>
      <c r="B281" t="inlineStr">
        <is>
          <t>ING-152</t>
        </is>
      </c>
      <c r="C281" t="n">
        <v>1.5</v>
      </c>
      <c r="D281" t="inlineStr">
        <is>
          <t>Hot Hold</t>
        </is>
      </c>
      <c r="E281" t="inlineStr">
        <is>
          <t>Weak Maybe</t>
        </is>
      </c>
      <c r="F281" t="inlineStr">
        <is>
          <t>Temp. logs req.</t>
        </is>
      </c>
      <c r="G281" s="13">
        <f>IFERROR(VLOOKUP(B281, 'Price Data'!A:D, 3, FALSE) * VLOOKUP(B281, 'Price Data'!A:D, 4, FALSE) * C281, "")</f>
        <v/>
      </c>
    </row>
    <row r="282">
      <c r="A282" s="3" t="n">
        <v>45741</v>
      </c>
      <c r="B282" t="inlineStr">
        <is>
          <t>ING-097</t>
        </is>
      </c>
      <c r="C282" t="n">
        <v>1</v>
      </c>
      <c r="D282" t="inlineStr">
        <is>
          <t>Hot Hold</t>
        </is>
      </c>
      <c r="E282" t="inlineStr">
        <is>
          <t>Weak Maybe</t>
        </is>
      </c>
      <c r="F282" t="inlineStr">
        <is>
          <t>Temp. logs req. | Minimal Utility</t>
        </is>
      </c>
      <c r="G282" s="13">
        <f>IFERROR(VLOOKUP(B282, 'Price Data'!A:D, 3, FALSE) * VLOOKUP(B282, 'Price Data'!A:D, 4, FALSE) * C282, "")</f>
        <v/>
      </c>
    </row>
    <row r="283">
      <c r="A283" s="3" t="n">
        <v>45741</v>
      </c>
      <c r="B283" t="inlineStr">
        <is>
          <t>ING-072</t>
        </is>
      </c>
      <c r="C283" t="n">
        <v>0.5</v>
      </c>
      <c r="D283" t="inlineStr">
        <is>
          <t>Hot Hold</t>
        </is>
      </c>
      <c r="E283" t="inlineStr">
        <is>
          <t>Maybe</t>
        </is>
      </c>
      <c r="F283" t="inlineStr">
        <is>
          <t>Temp. logs req.</t>
        </is>
      </c>
      <c r="G283" s="13">
        <f>IFERROR(VLOOKUP(B283, 'Price Data'!A:D, 3, FALSE) * VLOOKUP(B283, 'Price Data'!A:D, 4, FALSE) * C283, "")</f>
        <v/>
      </c>
    </row>
    <row r="284">
      <c r="A284" s="3" t="n">
        <v>45741</v>
      </c>
      <c r="B284" t="inlineStr">
        <is>
          <t>ING-151</t>
        </is>
      </c>
      <c r="C284" t="n">
        <v>2.5</v>
      </c>
      <c r="D284" t="inlineStr">
        <is>
          <t>Expiring</t>
        </is>
      </c>
      <c r="E284" t="inlineStr">
        <is>
          <t>Yes</t>
        </is>
      </c>
      <c r="F284" t="inlineStr">
        <is>
          <t>Freeze (req)</t>
        </is>
      </c>
      <c r="G284" s="13">
        <f>IFERROR(VLOOKUP(B284, 'Price Data'!A:D, 3, FALSE) * VLOOKUP(B284, 'Price Data'!A:D, 4, FALSE) * C284, "")</f>
        <v/>
      </c>
    </row>
    <row r="285">
      <c r="A285" s="3" t="n">
        <v>45741</v>
      </c>
      <c r="B285" t="inlineStr">
        <is>
          <t>ING-083</t>
        </is>
      </c>
      <c r="C285" t="n">
        <v>1.5</v>
      </c>
      <c r="D285" t="inlineStr">
        <is>
          <t>Hot Hold</t>
        </is>
      </c>
      <c r="E285" t="inlineStr">
        <is>
          <t>Weak Maybe</t>
        </is>
      </c>
      <c r="F285" t="inlineStr">
        <is>
          <t>Temp. logs req.</t>
        </is>
      </c>
      <c r="G285" s="13">
        <f>IFERROR(VLOOKUP(B285, 'Price Data'!A:D, 3, FALSE) * VLOOKUP(B285, 'Price Data'!A:D, 4, FALSE) * C285, "")</f>
        <v/>
      </c>
    </row>
    <row r="286">
      <c r="A286" s="3" t="n">
        <v>45741</v>
      </c>
      <c r="B286" t="inlineStr">
        <is>
          <t>ING-136</t>
        </is>
      </c>
      <c r="C286" t="n">
        <v>2.5</v>
      </c>
      <c r="D286" t="inlineStr">
        <is>
          <t>Expiring</t>
        </is>
      </c>
      <c r="E286" t="inlineStr">
        <is>
          <t>Yes</t>
        </is>
      </c>
      <c r="F286" t="inlineStr">
        <is>
          <t>As is</t>
        </is>
      </c>
      <c r="G286" s="13">
        <f>IFERROR(VLOOKUP(B286, 'Price Data'!A:D, 3, FALSE) * VLOOKUP(B286, 'Price Data'!A:D, 4, FALSE) * C286, "")</f>
        <v/>
      </c>
    </row>
    <row r="287">
      <c r="A287" s="3" t="n">
        <v>45741</v>
      </c>
      <c r="B287" t="inlineStr">
        <is>
          <t>ING-033</t>
        </is>
      </c>
      <c r="C287" t="n">
        <v>2</v>
      </c>
      <c r="D287" t="inlineStr">
        <is>
          <t>Expiring</t>
        </is>
      </c>
      <c r="E287" t="inlineStr">
        <is>
          <t>No</t>
        </is>
      </c>
      <c r="F287" s="2" t="inlineStr">
        <is>
          <t>Cut produce | No tamper-proof seal</t>
        </is>
      </c>
      <c r="G287" s="13">
        <f>IFERROR(VLOOKUP(B287, 'Price Data'!A:D, 3, FALSE) * VLOOKUP(B287, 'Price Data'!A:D, 4, FALSE) * C287, "")</f>
        <v/>
      </c>
    </row>
    <row r="288">
      <c r="A288" s="3" t="n">
        <v>45742</v>
      </c>
      <c r="B288" t="inlineStr">
        <is>
          <t>ING-131</t>
        </is>
      </c>
      <c r="C288" t="n">
        <v>2</v>
      </c>
      <c r="D288" t="inlineStr">
        <is>
          <t>Expiring</t>
        </is>
      </c>
      <c r="E288" t="inlineStr">
        <is>
          <t>Yes</t>
        </is>
      </c>
      <c r="F288" t="inlineStr">
        <is>
          <t>Freeze (req)</t>
        </is>
      </c>
      <c r="G288" s="13">
        <f>IFERROR(VLOOKUP(B288, 'Price Data'!A:D, 3, FALSE) * VLOOKUP(B288, 'Price Data'!A:D, 4, FALSE) * C288, "")</f>
        <v/>
      </c>
    </row>
    <row r="289">
      <c r="A289" s="3" t="n">
        <v>45742</v>
      </c>
      <c r="B289" t="inlineStr">
        <is>
          <t>ING-157</t>
        </is>
      </c>
      <c r="C289" t="n">
        <v>15.5</v>
      </c>
      <c r="D289" t="inlineStr">
        <is>
          <t>Expiring</t>
        </is>
      </c>
      <c r="E289" t="inlineStr">
        <is>
          <t>Yes</t>
        </is>
      </c>
      <c r="F289" s="2" t="inlineStr">
        <is>
          <t>As is</t>
        </is>
      </c>
      <c r="G289" s="13">
        <f>IFERROR(VLOOKUP(B289, 'Price Data'!A:D, 3, FALSE) * VLOOKUP(B289, 'Price Data'!A:D, 4, FALSE) * C289, "")</f>
        <v/>
      </c>
    </row>
    <row r="290">
      <c r="A290" s="3" t="n">
        <v>45742</v>
      </c>
      <c r="B290" t="inlineStr">
        <is>
          <t>ING-002</t>
        </is>
      </c>
      <c r="C290" t="n">
        <v>1</v>
      </c>
      <c r="D290" t="inlineStr">
        <is>
          <t>Expiring</t>
        </is>
      </c>
      <c r="E290" t="inlineStr">
        <is>
          <t>No</t>
        </is>
      </c>
      <c r="F290" t="inlineStr">
        <is>
          <t>No tamper-proof seal</t>
        </is>
      </c>
      <c r="G290" s="13">
        <f>IFERROR(VLOOKUP(B290, 'Price Data'!A:D, 3, FALSE) * VLOOKUP(B290, 'Price Data'!A:D, 4, FALSE) * C290, "")</f>
        <v/>
      </c>
    </row>
    <row r="291">
      <c r="A291" s="3" t="n">
        <v>45742</v>
      </c>
      <c r="B291" t="inlineStr">
        <is>
          <t>ING-087</t>
        </is>
      </c>
      <c r="C291" t="n">
        <v>0.5</v>
      </c>
      <c r="D291" t="inlineStr">
        <is>
          <t>Expiring</t>
        </is>
      </c>
      <c r="E291" t="inlineStr">
        <is>
          <t>No</t>
        </is>
      </c>
      <c r="F291" t="inlineStr">
        <is>
          <t>No tamper-proof seal</t>
        </is>
      </c>
      <c r="G291" s="13">
        <f>IFERROR(VLOOKUP(B291, 'Price Data'!A:D, 3, FALSE) * VLOOKUP(B291, 'Price Data'!A:D, 4, FALSE) * C291, "")</f>
        <v/>
      </c>
    </row>
    <row r="292">
      <c r="A292" s="3" t="n">
        <v>45742</v>
      </c>
      <c r="B292" t="inlineStr">
        <is>
          <t>ING-182</t>
        </is>
      </c>
      <c r="C292" t="n">
        <v>5</v>
      </c>
      <c r="D292" t="inlineStr">
        <is>
          <t>Expiring</t>
        </is>
      </c>
      <c r="E292" t="inlineStr">
        <is>
          <t>Weak Maybe</t>
        </is>
      </c>
      <c r="F292" t="inlineStr">
        <is>
          <t>Cut produce</t>
        </is>
      </c>
      <c r="G292" s="13">
        <f>IFERROR(VLOOKUP(B292, 'Price Data'!A:D, 3, FALSE) * VLOOKUP(B292, 'Price Data'!A:D, 4, FALSE) * C292, "")</f>
        <v/>
      </c>
    </row>
    <row r="293">
      <c r="A293" s="3" t="n">
        <v>45742</v>
      </c>
      <c r="B293" s="4" t="inlineStr">
        <is>
          <t>ING-176</t>
        </is>
      </c>
      <c r="C293" t="n">
        <v>1.5</v>
      </c>
      <c r="D293" t="inlineStr">
        <is>
          <t>Expiring</t>
        </is>
      </c>
      <c r="E293" t="inlineStr">
        <is>
          <t>Yes</t>
        </is>
      </c>
      <c r="F293" t="inlineStr">
        <is>
          <t>As is</t>
        </is>
      </c>
      <c r="G293" s="13">
        <f>IFERROR(VLOOKUP(B293, 'Price Data'!A:D, 3, FALSE) * VLOOKUP(B293, 'Price Data'!A:D, 4, FALSE) * C293, "")</f>
        <v/>
      </c>
    </row>
    <row r="294">
      <c r="A294" s="3" t="n">
        <v>45742</v>
      </c>
      <c r="B294" t="inlineStr">
        <is>
          <t>ING-028</t>
        </is>
      </c>
      <c r="C294" t="n">
        <v>2.5</v>
      </c>
      <c r="D294" t="inlineStr">
        <is>
          <t>Hot Hold</t>
        </is>
      </c>
      <c r="E294" t="inlineStr">
        <is>
          <t>No</t>
        </is>
      </c>
      <c r="F294" t="inlineStr">
        <is>
          <t>No Date | Temp. logs req.</t>
        </is>
      </c>
      <c r="G294" s="13">
        <f>IFERROR(VLOOKUP(B294, 'Price Data'!A:D, 3, FALSE) * VLOOKUP(B294, 'Price Data'!A:D, 4, FALSE) * C294, "")</f>
        <v/>
      </c>
    </row>
    <row r="295">
      <c r="A295" s="3" t="n">
        <v>45742</v>
      </c>
      <c r="B295" t="inlineStr">
        <is>
          <t>ING-082</t>
        </is>
      </c>
      <c r="C295" t="n">
        <v>1</v>
      </c>
      <c r="D295" t="inlineStr">
        <is>
          <t>Expiring</t>
        </is>
      </c>
      <c r="E295" t="inlineStr">
        <is>
          <t>No</t>
        </is>
      </c>
      <c r="F295" t="inlineStr">
        <is>
          <t>Minimal Utility</t>
        </is>
      </c>
      <c r="G295" s="13">
        <f>IFERROR(VLOOKUP(B295, 'Price Data'!A:D, 3, FALSE) * VLOOKUP(B295, 'Price Data'!A:D, 4, FALSE) * C295, "")</f>
        <v/>
      </c>
    </row>
    <row r="296">
      <c r="A296" s="3" t="n">
        <v>45742</v>
      </c>
      <c r="B296" t="inlineStr">
        <is>
          <t>ING-031</t>
        </is>
      </c>
      <c r="C296" t="n">
        <v>0.5</v>
      </c>
      <c r="D296" t="inlineStr">
        <is>
          <t>Expiring</t>
        </is>
      </c>
      <c r="E296" t="inlineStr">
        <is>
          <t>Weak Maybe</t>
        </is>
      </c>
      <c r="F296" t="inlineStr">
        <is>
          <t>No tamper-proof seal</t>
        </is>
      </c>
      <c r="G296" s="13">
        <f>IFERROR(VLOOKUP(B296, 'Price Data'!A:D, 3, FALSE) * VLOOKUP(B296, 'Price Data'!A:D, 4, FALSE) * C296, "")</f>
        <v/>
      </c>
    </row>
    <row r="297">
      <c r="A297" s="3" t="n">
        <v>45742</v>
      </c>
      <c r="B297" t="inlineStr">
        <is>
          <t>ING-106</t>
        </is>
      </c>
      <c r="C297" t="n">
        <v>2.5</v>
      </c>
      <c r="D297" t="inlineStr">
        <is>
          <t>Hot Hold</t>
        </is>
      </c>
      <c r="E297" t="inlineStr">
        <is>
          <t>Maybe</t>
        </is>
      </c>
      <c r="F297" t="inlineStr">
        <is>
          <t>Temp. logs req.</t>
        </is>
      </c>
      <c r="G297" s="13">
        <f>IFERROR(VLOOKUP(B297, 'Price Data'!A:D, 3, FALSE) * VLOOKUP(B297, 'Price Data'!A:D, 4, FALSE) * C297, "")</f>
        <v/>
      </c>
    </row>
    <row r="298">
      <c r="A298" s="3" t="n">
        <v>45742</v>
      </c>
      <c r="B298" t="inlineStr">
        <is>
          <t>ING-031</t>
        </is>
      </c>
      <c r="C298" t="n">
        <v>0.5</v>
      </c>
      <c r="D298" t="inlineStr">
        <is>
          <t>Expiring</t>
        </is>
      </c>
      <c r="E298" t="inlineStr">
        <is>
          <t>Weak Maybe</t>
        </is>
      </c>
      <c r="F298" t="inlineStr">
        <is>
          <t>No tamper-proof seal</t>
        </is>
      </c>
      <c r="G298" s="13">
        <f>IFERROR(VLOOKUP(B298, 'Price Data'!A:D, 3, FALSE) * VLOOKUP(B298, 'Price Data'!A:D, 4, FALSE) * C298, "")</f>
        <v/>
      </c>
    </row>
    <row r="299">
      <c r="A299" s="3" t="n">
        <v>45742</v>
      </c>
      <c r="B299" t="inlineStr">
        <is>
          <t>ING-185</t>
        </is>
      </c>
      <c r="C299" t="n">
        <v>0.5</v>
      </c>
      <c r="D299" t="inlineStr">
        <is>
          <t>Expiring</t>
        </is>
      </c>
      <c r="E299" t="inlineStr">
        <is>
          <t>Maybe</t>
        </is>
      </c>
      <c r="F299" t="inlineStr">
        <is>
          <t>No tamper-proof seal, Freeze (req)</t>
        </is>
      </c>
      <c r="G299" s="13">
        <f>IFERROR(VLOOKUP(B299, 'Price Data'!A:D, 3, FALSE) * VLOOKUP(B299, 'Price Data'!A:D, 4, FALSE) * C299, "")</f>
        <v/>
      </c>
    </row>
    <row r="300">
      <c r="A300" s="3" t="n">
        <v>45742</v>
      </c>
      <c r="B300" t="inlineStr">
        <is>
          <t>ING-098</t>
        </is>
      </c>
      <c r="C300" t="n">
        <v>1.5</v>
      </c>
      <c r="D300" t="inlineStr">
        <is>
          <t>Expiring</t>
        </is>
      </c>
      <c r="E300" t="inlineStr">
        <is>
          <t>Maybe</t>
        </is>
      </c>
      <c r="F300" t="inlineStr">
        <is>
          <t>No tamper-proof seal, Freeze (req)</t>
        </is>
      </c>
      <c r="G300" s="13">
        <f>IFERROR(VLOOKUP(B300, 'Price Data'!A:D, 3, FALSE) * VLOOKUP(B300, 'Price Data'!A:D, 4, FALSE) * C300, "")</f>
        <v/>
      </c>
    </row>
    <row r="301">
      <c r="A301" s="3" t="n">
        <v>45742</v>
      </c>
      <c r="B301" t="inlineStr">
        <is>
          <t>ING-105</t>
        </is>
      </c>
      <c r="C301" t="n">
        <v>1.5</v>
      </c>
      <c r="D301" t="inlineStr">
        <is>
          <t>Hot Hold</t>
        </is>
      </c>
      <c r="E301" t="inlineStr">
        <is>
          <t>Weak Maybe</t>
        </is>
      </c>
      <c r="F301" t="inlineStr">
        <is>
          <t>Temp. logs req. | Minimal Utility</t>
        </is>
      </c>
      <c r="G301" s="13">
        <f>IFERROR(VLOOKUP(B301, 'Price Data'!A:D, 3, FALSE) * VLOOKUP(B301, 'Price Data'!A:D, 4, FALSE) * C301, "")</f>
        <v/>
      </c>
    </row>
    <row r="302">
      <c r="A302" s="3" t="n">
        <v>45742</v>
      </c>
      <c r="B302" t="inlineStr">
        <is>
          <t>ING-127</t>
        </is>
      </c>
      <c r="C302" t="n">
        <v>1.5</v>
      </c>
      <c r="D302" t="inlineStr">
        <is>
          <t>Expiring</t>
        </is>
      </c>
      <c r="E302" t="inlineStr">
        <is>
          <t>Yes</t>
        </is>
      </c>
      <c r="F302" t="inlineStr">
        <is>
          <t>Freeze (req)</t>
        </is>
      </c>
      <c r="G302" s="13">
        <f>IFERROR(VLOOKUP(B302, 'Price Data'!A:D, 3, FALSE) * VLOOKUP(B302, 'Price Data'!A:D, 4, FALSE) * C302, "")</f>
        <v/>
      </c>
    </row>
    <row r="303">
      <c r="A303" s="3" t="n">
        <v>45742</v>
      </c>
      <c r="B303" t="inlineStr">
        <is>
          <t>ING-163</t>
        </is>
      </c>
      <c r="C303" t="n">
        <v>1.5</v>
      </c>
      <c r="D303" t="inlineStr">
        <is>
          <t>Hot Hold</t>
        </is>
      </c>
      <c r="E303" t="inlineStr">
        <is>
          <t>Weak Maybe</t>
        </is>
      </c>
      <c r="F303" t="inlineStr">
        <is>
          <t>Temp. logs req.</t>
        </is>
      </c>
      <c r="G303" s="13">
        <f>IFERROR(VLOOKUP(B303, 'Price Data'!A:D, 3, FALSE) * VLOOKUP(B303, 'Price Data'!A:D, 4, FALSE) * C303, "")</f>
        <v/>
      </c>
    </row>
    <row r="304">
      <c r="A304" s="3" t="n">
        <v>45742</v>
      </c>
      <c r="B304" t="inlineStr">
        <is>
          <t>ING-172</t>
        </is>
      </c>
      <c r="C304" t="n">
        <v>2</v>
      </c>
      <c r="D304" t="inlineStr">
        <is>
          <t>Expiring</t>
        </is>
      </c>
      <c r="E304" t="inlineStr">
        <is>
          <t>Yes</t>
        </is>
      </c>
      <c r="F304" t="inlineStr">
        <is>
          <t>Freeze (rec)</t>
        </is>
      </c>
      <c r="G304" s="13">
        <f>IFERROR(VLOOKUP(B304, 'Price Data'!A:D, 3, FALSE) * VLOOKUP(B304, 'Price Data'!A:D, 4, FALSE) * C304, "")</f>
        <v/>
      </c>
    </row>
    <row r="305">
      <c r="A305" s="3" t="n">
        <v>45744</v>
      </c>
      <c r="B305" t="inlineStr">
        <is>
          <t>ING-028</t>
        </is>
      </c>
      <c r="C305" t="n">
        <v>4</v>
      </c>
      <c r="D305" t="inlineStr">
        <is>
          <t>Hot Hold</t>
        </is>
      </c>
      <c r="E305" t="inlineStr">
        <is>
          <t>No</t>
        </is>
      </c>
      <c r="F305" t="inlineStr">
        <is>
          <t>No Date | Temp. logs req.</t>
        </is>
      </c>
      <c r="G305" s="13">
        <f>IFERROR(VLOOKUP(B305, 'Price Data'!A:D, 3, FALSE) * VLOOKUP(B305, 'Price Data'!A:D, 4, FALSE) * C305, "")</f>
        <v/>
      </c>
    </row>
    <row r="306">
      <c r="A306" s="3" t="n">
        <v>45744</v>
      </c>
      <c r="B306" t="inlineStr">
        <is>
          <t>ING-002</t>
        </is>
      </c>
      <c r="C306" t="n">
        <v>0.5</v>
      </c>
      <c r="D306" t="inlineStr">
        <is>
          <t>Expiring</t>
        </is>
      </c>
      <c r="E306" t="inlineStr">
        <is>
          <t>No</t>
        </is>
      </c>
      <c r="F306" t="inlineStr">
        <is>
          <t>No tamper-proof seal</t>
        </is>
      </c>
      <c r="G306" s="13">
        <f>IFERROR(VLOOKUP(B306, 'Price Data'!A:D, 3, FALSE) * VLOOKUP(B306, 'Price Data'!A:D, 4, FALSE) * C306, "")</f>
        <v/>
      </c>
    </row>
    <row r="307">
      <c r="A307" s="3" t="n">
        <v>45744</v>
      </c>
      <c r="B307" t="inlineStr">
        <is>
          <t>ING-090</t>
        </is>
      </c>
      <c r="C307" t="n">
        <v>2</v>
      </c>
      <c r="D307" t="inlineStr">
        <is>
          <t>Expiring</t>
        </is>
      </c>
      <c r="E307" t="inlineStr">
        <is>
          <t>Strong Maybe</t>
        </is>
      </c>
      <c r="F307" t="inlineStr">
        <is>
          <t xml:space="preserve">Freeze (rec) </t>
        </is>
      </c>
      <c r="G307" s="13">
        <f>IFERROR(VLOOKUP(B307, 'Price Data'!A:D, 3, FALSE) * VLOOKUP(B307, 'Price Data'!A:D, 4, FALSE) * C307, "")</f>
        <v/>
      </c>
    </row>
    <row r="308">
      <c r="A308" s="3" t="n">
        <v>45744</v>
      </c>
      <c r="B308" t="inlineStr">
        <is>
          <t>ING-185</t>
        </is>
      </c>
      <c r="C308" t="n">
        <v>0.5</v>
      </c>
      <c r="D308" t="inlineStr">
        <is>
          <t>Expiring</t>
        </is>
      </c>
      <c r="E308" t="inlineStr">
        <is>
          <t>Strong Maybe</t>
        </is>
      </c>
      <c r="F308" t="inlineStr">
        <is>
          <t>No tamper-proof seal</t>
        </is>
      </c>
      <c r="G308" s="13">
        <f>IFERROR(VLOOKUP(B308, 'Price Data'!A:D, 3, FALSE) * VLOOKUP(B308, 'Price Data'!A:D, 4, FALSE) * C308, "")</f>
        <v/>
      </c>
    </row>
    <row r="309">
      <c r="A309" s="3" t="n">
        <v>45744</v>
      </c>
      <c r="B309" t="inlineStr">
        <is>
          <t>ING-168</t>
        </is>
      </c>
      <c r="C309" t="n">
        <v>2</v>
      </c>
      <c r="D309" t="inlineStr">
        <is>
          <t>Expiring</t>
        </is>
      </c>
      <c r="E309" t="inlineStr">
        <is>
          <t>Maybe</t>
        </is>
      </c>
      <c r="F309" t="inlineStr">
        <is>
          <t>As is | Minimal Utility</t>
        </is>
      </c>
      <c r="G309" s="13">
        <f>IFERROR(VLOOKUP(B309, 'Price Data'!A:D, 3, FALSE) * VLOOKUP(B309, 'Price Data'!A:D, 4, FALSE) * C309, "")</f>
        <v/>
      </c>
    </row>
    <row r="310">
      <c r="A310" s="3" t="n">
        <v>45744</v>
      </c>
      <c r="B310" t="inlineStr">
        <is>
          <t>ING-097</t>
        </is>
      </c>
      <c r="C310" t="n">
        <v>1</v>
      </c>
      <c r="D310" t="inlineStr">
        <is>
          <t>Hot Hold</t>
        </is>
      </c>
      <c r="E310" t="inlineStr">
        <is>
          <t>Weak Maybe</t>
        </is>
      </c>
      <c r="F310" t="inlineStr">
        <is>
          <t>Temp. logs req. | Minimal Utility</t>
        </is>
      </c>
      <c r="G310" s="13">
        <f>IFERROR(VLOOKUP(B310, 'Price Data'!A:D, 3, FALSE) * VLOOKUP(B310, 'Price Data'!A:D, 4, FALSE) * C310, "")</f>
        <v/>
      </c>
    </row>
    <row r="311">
      <c r="A311" s="3" t="n">
        <v>45744</v>
      </c>
      <c r="B311" t="inlineStr">
        <is>
          <t>ING-028</t>
        </is>
      </c>
      <c r="C311" t="n">
        <v>2</v>
      </c>
      <c r="D311" t="inlineStr">
        <is>
          <t>Hot Hold</t>
        </is>
      </c>
      <c r="E311" t="inlineStr">
        <is>
          <t>No</t>
        </is>
      </c>
      <c r="F311" t="inlineStr">
        <is>
          <t>No Date</t>
        </is>
      </c>
      <c r="G311" s="13">
        <f>IFERROR(VLOOKUP(B311, 'Price Data'!A:D, 3, FALSE) * VLOOKUP(B311, 'Price Data'!A:D, 4, FALSE) * C311, "")</f>
        <v/>
      </c>
    </row>
    <row r="312">
      <c r="A312" s="3" t="n">
        <v>45744</v>
      </c>
      <c r="B312" t="inlineStr">
        <is>
          <t>ING-104</t>
        </is>
      </c>
      <c r="C312" t="n">
        <v>1</v>
      </c>
      <c r="D312" t="inlineStr">
        <is>
          <t>Expiring</t>
        </is>
      </c>
      <c r="E312" t="inlineStr">
        <is>
          <t>No</t>
        </is>
      </c>
      <c r="F312" t="inlineStr">
        <is>
          <t>Temp. logs req. | Minimal Utility</t>
        </is>
      </c>
      <c r="G312" s="13">
        <f>IFERROR(VLOOKUP(B312, 'Price Data'!A:D, 3, FALSE) * VLOOKUP(B312, 'Price Data'!A:D, 4, FALSE) * C312, "")</f>
        <v/>
      </c>
    </row>
    <row r="313">
      <c r="A313" s="3" t="n">
        <v>45744</v>
      </c>
      <c r="B313" t="inlineStr">
        <is>
          <t>ING-156</t>
        </is>
      </c>
      <c r="C313" t="n">
        <v>2.5</v>
      </c>
      <c r="D313" t="inlineStr">
        <is>
          <t>Expiring</t>
        </is>
      </c>
      <c r="E313" t="inlineStr">
        <is>
          <t>Yes</t>
        </is>
      </c>
      <c r="F313" t="inlineStr">
        <is>
          <t>As is</t>
        </is>
      </c>
      <c r="G313" s="13">
        <f>IFERROR(VLOOKUP(B313, 'Price Data'!A:D, 3, FALSE) * VLOOKUP(B313, 'Price Data'!A:D, 4, FALSE) * C313, "")</f>
        <v/>
      </c>
    </row>
    <row r="314">
      <c r="A314" s="3" t="n">
        <v>45744</v>
      </c>
      <c r="B314" t="inlineStr">
        <is>
          <t>ING-160</t>
        </is>
      </c>
      <c r="C314" t="n">
        <v>0.5</v>
      </c>
      <c r="D314" t="inlineStr">
        <is>
          <t>Expiring</t>
        </is>
      </c>
      <c r="E314" t="inlineStr">
        <is>
          <t>No</t>
        </is>
      </c>
      <c r="F314" s="2" t="inlineStr">
        <is>
          <t>No tamper-proof seal</t>
        </is>
      </c>
      <c r="G314" s="13">
        <f>IFERROR(VLOOKUP(B314, 'Price Data'!A:D, 3, FALSE) * VLOOKUP(B314, 'Price Data'!A:D, 4, FALSE) * C314, "")</f>
        <v/>
      </c>
    </row>
    <row r="315">
      <c r="A315" s="3" t="n">
        <v>45744</v>
      </c>
      <c r="B315" t="inlineStr">
        <is>
          <t>ING-058</t>
        </is>
      </c>
      <c r="C315" t="n">
        <v>0.5</v>
      </c>
      <c r="D315" t="inlineStr">
        <is>
          <t>DISCARDED</t>
        </is>
      </c>
      <c r="E315" t="inlineStr">
        <is>
          <t>No</t>
        </is>
      </c>
      <c r="F315" s="2" t="inlineStr">
        <is>
          <t>N/A</t>
        </is>
      </c>
      <c r="G315" s="13">
        <f>IFERROR(VLOOKUP(B315, 'Price Data'!A:D, 3, FALSE) * VLOOKUP(B315, 'Price Data'!A:D, 4, FALSE) * C315, "")</f>
        <v/>
      </c>
    </row>
    <row r="316">
      <c r="A316" s="3" t="n">
        <v>45744</v>
      </c>
      <c r="B316" t="inlineStr">
        <is>
          <t>ING-150</t>
        </is>
      </c>
      <c r="C316" t="n">
        <v>7.5</v>
      </c>
      <c r="D316" t="inlineStr">
        <is>
          <t>Expiring</t>
        </is>
      </c>
      <c r="E316" t="inlineStr">
        <is>
          <t>Yes</t>
        </is>
      </c>
      <c r="F316" s="2" t="inlineStr">
        <is>
          <t>Freeze (req)</t>
        </is>
      </c>
      <c r="G316" s="13">
        <f>IFERROR(VLOOKUP(B316, 'Price Data'!A:D, 3, FALSE) * VLOOKUP(B316, 'Price Data'!A:D, 4, FALSE) * C316, "")</f>
        <v/>
      </c>
    </row>
    <row r="317">
      <c r="A317" s="3" t="n">
        <v>45744</v>
      </c>
      <c r="B317" t="inlineStr">
        <is>
          <t>ING-152</t>
        </is>
      </c>
      <c r="C317" t="n">
        <v>1.5</v>
      </c>
      <c r="D317" t="inlineStr">
        <is>
          <t>Hot Hold</t>
        </is>
      </c>
      <c r="E317" t="inlineStr">
        <is>
          <t>Weak Maybe</t>
        </is>
      </c>
      <c r="F317" t="inlineStr">
        <is>
          <t>Temp. logs req.</t>
        </is>
      </c>
      <c r="G317" s="13">
        <f>IFERROR(VLOOKUP(B317, 'Price Data'!A:D, 3, FALSE) * VLOOKUP(B317, 'Price Data'!A:D, 4, FALSE) * C317, "")</f>
        <v/>
      </c>
    </row>
    <row r="318">
      <c r="A318" s="3" t="n">
        <v>45744</v>
      </c>
      <c r="B318" t="inlineStr">
        <is>
          <t>ING-136</t>
        </is>
      </c>
      <c r="C318" t="n">
        <v>2</v>
      </c>
      <c r="D318" t="inlineStr">
        <is>
          <t>Expiring</t>
        </is>
      </c>
      <c r="E318" t="inlineStr">
        <is>
          <t>Yes</t>
        </is>
      </c>
      <c r="F318" t="inlineStr">
        <is>
          <t>As is</t>
        </is>
      </c>
      <c r="G318" s="13">
        <f>IFERROR(VLOOKUP(B318, 'Price Data'!A:D, 3, FALSE) * VLOOKUP(B318, 'Price Data'!A:D, 4, FALSE) * C318, "")</f>
        <v/>
      </c>
    </row>
    <row r="319">
      <c r="A319" s="3" t="n">
        <v>45744</v>
      </c>
      <c r="B319" t="inlineStr">
        <is>
          <t>ING-085</t>
        </is>
      </c>
      <c r="C319" t="n">
        <v>1.5</v>
      </c>
      <c r="D319" t="inlineStr">
        <is>
          <t>Expiring</t>
        </is>
      </c>
      <c r="E319" t="inlineStr">
        <is>
          <t>Yes</t>
        </is>
      </c>
      <c r="F319" t="inlineStr">
        <is>
          <t xml:space="preserve">Freeze (rec) </t>
        </is>
      </c>
      <c r="G319" s="13">
        <f>IFERROR(VLOOKUP(B319, 'Price Data'!A:D, 3, FALSE) * VLOOKUP(B319, 'Price Data'!A:D, 4, FALSE) * C319, "")</f>
        <v/>
      </c>
    </row>
    <row r="320">
      <c r="A320" s="3" t="n">
        <v>45744</v>
      </c>
      <c r="B320" t="inlineStr">
        <is>
          <t>ING-040</t>
        </is>
      </c>
      <c r="C320" t="n">
        <v>1.5</v>
      </c>
      <c r="D320" t="inlineStr">
        <is>
          <t>Expiring</t>
        </is>
      </c>
      <c r="E320" t="inlineStr">
        <is>
          <t>No</t>
        </is>
      </c>
      <c r="F320" t="inlineStr">
        <is>
          <t>Minimal Utility</t>
        </is>
      </c>
      <c r="G320" s="13">
        <f>IFERROR(VLOOKUP(B320, 'Price Data'!A:D, 3, FALSE) * VLOOKUP(B320, 'Price Data'!A:D, 4, FALSE) * C320, "")</f>
        <v/>
      </c>
    </row>
    <row r="321">
      <c r="A321" s="3" t="n">
        <v>45744</v>
      </c>
      <c r="B321" t="inlineStr">
        <is>
          <t>ING-158</t>
        </is>
      </c>
      <c r="C321" t="n">
        <v>1.5</v>
      </c>
      <c r="D321" t="inlineStr">
        <is>
          <t>Expiring</t>
        </is>
      </c>
      <c r="E321" t="inlineStr">
        <is>
          <t>Strong Maybe</t>
        </is>
      </c>
      <c r="F321" s="2" t="inlineStr">
        <is>
          <t>Freeze (req) | Seafood</t>
        </is>
      </c>
      <c r="G321" s="13">
        <f>IFERROR(VLOOKUP(B321, 'Price Data'!A:D, 3, FALSE) * VLOOKUP(B321, 'Price Data'!A:D, 4, FALSE) * C321, "")</f>
        <v/>
      </c>
    </row>
    <row r="322">
      <c r="A322" s="3" t="n">
        <v>45744</v>
      </c>
      <c r="B322" t="inlineStr">
        <is>
          <t>ING-107</t>
        </is>
      </c>
      <c r="C322" t="n">
        <v>3.5</v>
      </c>
      <c r="D322" t="inlineStr">
        <is>
          <t>Expiring</t>
        </is>
      </c>
      <c r="E322" t="inlineStr">
        <is>
          <t>Yes</t>
        </is>
      </c>
      <c r="F322" s="2" t="inlineStr">
        <is>
          <t>Freeze (req)</t>
        </is>
      </c>
      <c r="G322" s="13">
        <f>IFERROR(VLOOKUP(B322, 'Price Data'!A:D, 3, FALSE) * VLOOKUP(B322, 'Price Data'!A:D, 4, FALSE) * C322, "")</f>
        <v/>
      </c>
    </row>
    <row r="323">
      <c r="A323" s="3" t="n">
        <v>45744</v>
      </c>
      <c r="B323" t="inlineStr">
        <is>
          <t>ING-182</t>
        </is>
      </c>
      <c r="C323" t="n">
        <v>3</v>
      </c>
      <c r="D323" t="inlineStr">
        <is>
          <t>Expiring</t>
        </is>
      </c>
      <c r="E323" t="inlineStr">
        <is>
          <t>Weak Maybe</t>
        </is>
      </c>
      <c r="F323" t="inlineStr">
        <is>
          <t>Cut produce</t>
        </is>
      </c>
      <c r="G323" s="13">
        <f>IFERROR(VLOOKUP(B323, 'Price Data'!A:D, 3, FALSE) * VLOOKUP(B323, 'Price Data'!A:D, 4, FALSE) * C323, "")</f>
        <v/>
      </c>
    </row>
    <row r="324">
      <c r="A324" s="3" t="n">
        <v>45744</v>
      </c>
      <c r="B324" t="inlineStr">
        <is>
          <t>ING-126</t>
        </is>
      </c>
      <c r="C324" t="n">
        <v>1</v>
      </c>
      <c r="D324" t="inlineStr">
        <is>
          <t>Expiring</t>
        </is>
      </c>
      <c r="E324" t="inlineStr">
        <is>
          <t>Strong Maybe</t>
        </is>
      </c>
      <c r="F324" t="inlineStr">
        <is>
          <t>Freeze (req) | Seafood</t>
        </is>
      </c>
      <c r="G324" s="13">
        <f>IFERROR(VLOOKUP(B324, 'Price Data'!A:D, 3, FALSE) * VLOOKUP(B324, 'Price Data'!A:D, 4, FALSE) * C324, "")</f>
        <v/>
      </c>
    </row>
    <row r="325">
      <c r="A325" s="3" t="n">
        <v>45744</v>
      </c>
      <c r="B325" t="inlineStr">
        <is>
          <t>ING-062</t>
        </is>
      </c>
      <c r="C325" t="n">
        <v>3</v>
      </c>
      <c r="D325" t="inlineStr">
        <is>
          <t>Expiring</t>
        </is>
      </c>
      <c r="E325" t="inlineStr">
        <is>
          <t>Yes</t>
        </is>
      </c>
      <c r="F325" t="inlineStr">
        <is>
          <t>Freeze (req)</t>
        </is>
      </c>
      <c r="G325" s="13">
        <f>IFERROR(VLOOKUP(B325, 'Price Data'!A:D, 3, FALSE) * VLOOKUP(B325, 'Price Data'!A:D, 4, FALSE) * C325, "")</f>
        <v/>
      </c>
    </row>
    <row r="326">
      <c r="A326" s="3" t="n">
        <v>45744</v>
      </c>
      <c r="B326" t="inlineStr">
        <is>
          <t>ING-148</t>
        </is>
      </c>
      <c r="C326" t="n">
        <v>1</v>
      </c>
      <c r="D326" t="inlineStr">
        <is>
          <t>Hot Hold</t>
        </is>
      </c>
      <c r="E326" t="inlineStr">
        <is>
          <t>Maybe</t>
        </is>
      </c>
      <c r="F326" t="inlineStr">
        <is>
          <t>Temp. logs req.</t>
        </is>
      </c>
      <c r="G326" s="13">
        <f>IFERROR(VLOOKUP(B326, 'Price Data'!A:D, 3, FALSE) * VLOOKUP(B326, 'Price Data'!A:D, 4, FALSE) * C326, "")</f>
        <v/>
      </c>
    </row>
    <row r="327">
      <c r="A327" s="3" t="n">
        <v>45744</v>
      </c>
      <c r="B327" t="inlineStr">
        <is>
          <t>ING-045</t>
        </is>
      </c>
      <c r="C327" t="n">
        <v>4</v>
      </c>
      <c r="D327" t="inlineStr">
        <is>
          <t>Expiring</t>
        </is>
      </c>
      <c r="E327" t="inlineStr">
        <is>
          <t>Strong Maybe</t>
        </is>
      </c>
      <c r="F327" t="inlineStr">
        <is>
          <t>Cut produce | As is</t>
        </is>
      </c>
      <c r="G327" s="13">
        <f>IFERROR(VLOOKUP(B327, 'Price Data'!A:D, 3, FALSE) * VLOOKUP(B327, 'Price Data'!A:D, 4, FALSE) * C327, "")</f>
        <v/>
      </c>
    </row>
    <row r="328">
      <c r="A328" s="3" t="n">
        <v>45744</v>
      </c>
      <c r="B328" t="inlineStr">
        <is>
          <t>ING-108</t>
        </is>
      </c>
      <c r="C328" t="n">
        <v>0.5</v>
      </c>
      <c r="D328" t="inlineStr">
        <is>
          <t>Expiring</t>
        </is>
      </c>
      <c r="E328" t="inlineStr">
        <is>
          <t>No</t>
        </is>
      </c>
      <c r="F328" t="inlineStr">
        <is>
          <t>No tamper-proof seal | No Date</t>
        </is>
      </c>
      <c r="G328" s="13">
        <f>IFERROR(VLOOKUP(B328, 'Price Data'!A:D, 3, FALSE) * VLOOKUP(B328, 'Price Data'!A:D, 4, FALSE) * C328, "")</f>
        <v/>
      </c>
    </row>
    <row r="329">
      <c r="A329" s="3" t="n">
        <v>45744</v>
      </c>
      <c r="B329" t="inlineStr">
        <is>
          <t>ING-126</t>
        </is>
      </c>
      <c r="C329" t="n">
        <v>1</v>
      </c>
      <c r="D329" t="inlineStr">
        <is>
          <t>Expiring</t>
        </is>
      </c>
      <c r="E329" t="inlineStr">
        <is>
          <t>Strong Maybe</t>
        </is>
      </c>
      <c r="F329" t="inlineStr">
        <is>
          <t>Freeze (req) | Seafood</t>
        </is>
      </c>
      <c r="G329" s="13">
        <f>IFERROR(VLOOKUP(B329, 'Price Data'!A:D, 3, FALSE) * VLOOKUP(B329, 'Price Data'!A:D, 4, FALSE) * C329, "")</f>
        <v/>
      </c>
    </row>
    <row r="330">
      <c r="A330" s="3" t="n">
        <v>45744</v>
      </c>
      <c r="B330" t="inlineStr">
        <is>
          <t>ING-090</t>
        </is>
      </c>
      <c r="C330" t="n">
        <v>2.5</v>
      </c>
      <c r="D330" t="inlineStr">
        <is>
          <t>Expiring</t>
        </is>
      </c>
      <c r="E330" t="inlineStr">
        <is>
          <t>Strong Maybe</t>
        </is>
      </c>
      <c r="F330" t="inlineStr">
        <is>
          <t xml:space="preserve">Freeze (rec) </t>
        </is>
      </c>
      <c r="G330" s="13">
        <f>IFERROR(VLOOKUP(B330, 'Price Data'!A:D, 3, FALSE) * VLOOKUP(B330, 'Price Data'!A:D, 4, FALSE) * C330, "")</f>
        <v/>
      </c>
    </row>
    <row r="331">
      <c r="A331" s="3" t="n">
        <v>45744</v>
      </c>
      <c r="B331" t="inlineStr">
        <is>
          <t>ING-169</t>
        </is>
      </c>
      <c r="C331" t="n">
        <v>1</v>
      </c>
      <c r="D331" t="inlineStr">
        <is>
          <t>Expiring</t>
        </is>
      </c>
      <c r="E331" t="inlineStr">
        <is>
          <t>Maybe</t>
        </is>
      </c>
      <c r="F331" s="2" t="inlineStr">
        <is>
          <t>As is | Minimal Utility</t>
        </is>
      </c>
      <c r="G331" s="13">
        <f>IFERROR(VLOOKUP(B331, 'Price Data'!A:D, 3, FALSE) * VLOOKUP(B331, 'Price Data'!A:D, 4, FALSE) * C331, "")</f>
        <v/>
      </c>
    </row>
    <row r="332">
      <c r="A332" s="3" t="n">
        <v>45744</v>
      </c>
      <c r="B332" t="inlineStr">
        <is>
          <t>ING-145</t>
        </is>
      </c>
      <c r="C332" t="n">
        <v>3</v>
      </c>
      <c r="D332" t="inlineStr">
        <is>
          <t>Expiring</t>
        </is>
      </c>
      <c r="E332" t="inlineStr">
        <is>
          <t>Yes</t>
        </is>
      </c>
      <c r="F332" t="inlineStr">
        <is>
          <t>Freeze (req)</t>
        </is>
      </c>
      <c r="G332" s="13">
        <f>IFERROR(VLOOKUP(B332, 'Price Data'!A:D, 3, FALSE) * VLOOKUP(B332, 'Price Data'!A:D, 4, FALSE) * C332, "")</f>
        <v/>
      </c>
    </row>
    <row r="333">
      <c r="A333" s="3" t="n">
        <v>45745</v>
      </c>
      <c r="B333" t="inlineStr">
        <is>
          <t>ING-039</t>
        </is>
      </c>
      <c r="C333" t="n">
        <v>0.5</v>
      </c>
      <c r="D333" t="inlineStr">
        <is>
          <t>Expiring</t>
        </is>
      </c>
      <c r="E333" t="inlineStr">
        <is>
          <t>No</t>
        </is>
      </c>
      <c r="F333" t="inlineStr">
        <is>
          <t>No tamper-proof seal</t>
        </is>
      </c>
      <c r="G333" s="13">
        <f>IFERROR(VLOOKUP(B333, 'Price Data'!A:D, 3, FALSE) * VLOOKUP(B333, 'Price Data'!A:D, 4, FALSE) * C333, "")</f>
        <v/>
      </c>
    </row>
    <row r="334">
      <c r="A334" s="3" t="n">
        <v>45745</v>
      </c>
      <c r="B334" t="inlineStr">
        <is>
          <t>ING-049</t>
        </is>
      </c>
      <c r="C334" t="n">
        <v>0.5</v>
      </c>
      <c r="D334" t="inlineStr">
        <is>
          <t>Hot Hold</t>
        </is>
      </c>
      <c r="E334" t="inlineStr">
        <is>
          <t>No</t>
        </is>
      </c>
      <c r="F334" t="inlineStr">
        <is>
          <t>Minimal Utility</t>
        </is>
      </c>
      <c r="G334" s="13">
        <f>IFERROR(VLOOKUP(B334, 'Price Data'!A:D, 3, FALSE) * VLOOKUP(B334, 'Price Data'!A:D, 4, FALSE) * C334, "")</f>
        <v/>
      </c>
    </row>
    <row r="335">
      <c r="A335" s="3" t="n">
        <v>45745</v>
      </c>
      <c r="B335" t="inlineStr">
        <is>
          <t>ING-105</t>
        </is>
      </c>
      <c r="C335" t="n">
        <v>0.5</v>
      </c>
      <c r="D335" t="inlineStr">
        <is>
          <t>Hot Hold</t>
        </is>
      </c>
      <c r="E335" t="inlineStr">
        <is>
          <t>Weak Maybe</t>
        </is>
      </c>
      <c r="F335" t="inlineStr">
        <is>
          <t>Temp. logs req. | Minimal Utility</t>
        </is>
      </c>
      <c r="G335" s="13">
        <f>IFERROR(VLOOKUP(B335, 'Price Data'!A:D, 3, FALSE) * VLOOKUP(B335, 'Price Data'!A:D, 4, FALSE) * C335, "")</f>
        <v/>
      </c>
    </row>
    <row r="336">
      <c r="A336" s="3" t="n">
        <v>45745</v>
      </c>
      <c r="B336" t="inlineStr">
        <is>
          <t>ING-129</t>
        </is>
      </c>
      <c r="C336" t="n">
        <v>4</v>
      </c>
      <c r="D336" t="inlineStr">
        <is>
          <t>Hot Hold</t>
        </is>
      </c>
      <c r="E336" t="inlineStr">
        <is>
          <t>Maybe</t>
        </is>
      </c>
      <c r="F336" t="inlineStr">
        <is>
          <t>Temp. logs req.</t>
        </is>
      </c>
      <c r="G336" s="13">
        <f>IFERROR(VLOOKUP(B336, 'Price Data'!A:D, 3, FALSE) * VLOOKUP(B336, 'Price Data'!A:D, 4, FALSE) * C336, "")</f>
        <v/>
      </c>
    </row>
    <row r="337">
      <c r="A337" s="3" t="n">
        <v>45745</v>
      </c>
      <c r="B337" t="inlineStr">
        <is>
          <t>ING-182</t>
        </is>
      </c>
      <c r="C337" t="n">
        <v>3.5</v>
      </c>
      <c r="D337" t="inlineStr">
        <is>
          <t>Expiring</t>
        </is>
      </c>
      <c r="E337" t="inlineStr">
        <is>
          <t>Weak Maybe</t>
        </is>
      </c>
      <c r="F337" t="inlineStr">
        <is>
          <t>Cut produce</t>
        </is>
      </c>
      <c r="G337" s="13">
        <f>IFERROR(VLOOKUP(B337, 'Price Data'!A:D, 3, FALSE) * VLOOKUP(B337, 'Price Data'!A:D, 4, FALSE) * C337, "")</f>
        <v/>
      </c>
    </row>
    <row r="338">
      <c r="A338" s="3" t="n">
        <v>45745</v>
      </c>
      <c r="B338" t="inlineStr">
        <is>
          <t>ING-163</t>
        </is>
      </c>
      <c r="C338" t="n">
        <v>1.5</v>
      </c>
      <c r="D338" t="inlineStr">
        <is>
          <t>Expiring</t>
        </is>
      </c>
      <c r="E338" t="inlineStr">
        <is>
          <t>Weak Maybe</t>
        </is>
      </c>
      <c r="F338" t="inlineStr">
        <is>
          <t>Temp. logs req.</t>
        </is>
      </c>
      <c r="G338" s="13">
        <f>IFERROR(VLOOKUP(B338, 'Price Data'!A:D, 3, FALSE) * VLOOKUP(B338, 'Price Data'!A:D, 4, FALSE) * C338, "")</f>
        <v/>
      </c>
    </row>
    <row r="339">
      <c r="A339" s="3" t="n">
        <v>45745</v>
      </c>
      <c r="B339" t="inlineStr">
        <is>
          <t>ING-105</t>
        </is>
      </c>
      <c r="C339" t="n">
        <v>0.5</v>
      </c>
      <c r="D339" t="inlineStr">
        <is>
          <t>Hot Hold</t>
        </is>
      </c>
      <c r="E339" t="inlineStr">
        <is>
          <t>Weak Maybe</t>
        </is>
      </c>
      <c r="F339" t="inlineStr">
        <is>
          <t>Temp. logs req. | Minimal Utility</t>
        </is>
      </c>
      <c r="G339" s="13">
        <f>IFERROR(VLOOKUP(B339, 'Price Data'!A:D, 3, FALSE) * VLOOKUP(B339, 'Price Data'!A:D, 4, FALSE) * C339, "")</f>
        <v/>
      </c>
    </row>
    <row r="340">
      <c r="A340" s="3" t="n">
        <v>45745</v>
      </c>
      <c r="B340" t="inlineStr">
        <is>
          <t>ING-157</t>
        </is>
      </c>
      <c r="C340" t="n">
        <v>1</v>
      </c>
      <c r="D340" t="inlineStr">
        <is>
          <t>Hot Hold</t>
        </is>
      </c>
      <c r="E340" t="inlineStr">
        <is>
          <t>Maybe</t>
        </is>
      </c>
      <c r="F340" t="inlineStr">
        <is>
          <t>Temp. logs req.</t>
        </is>
      </c>
      <c r="G340" s="13">
        <f>IFERROR(VLOOKUP(B340, 'Price Data'!A:D, 3, FALSE) * VLOOKUP(B340, 'Price Data'!A:D, 4, FALSE) * C340, "")</f>
        <v/>
      </c>
    </row>
    <row r="341">
      <c r="A341" s="3" t="n">
        <v>45745</v>
      </c>
      <c r="B341" t="inlineStr">
        <is>
          <t>ING-072</t>
        </is>
      </c>
      <c r="C341" t="n">
        <v>1</v>
      </c>
      <c r="D341" t="inlineStr">
        <is>
          <t>Hot Hold</t>
        </is>
      </c>
      <c r="E341" t="inlineStr">
        <is>
          <t>Maybe</t>
        </is>
      </c>
      <c r="F341" t="inlineStr">
        <is>
          <t>Freeze (req)</t>
        </is>
      </c>
      <c r="G341" s="13">
        <f>IFERROR(VLOOKUP(B341, 'Price Data'!A:D, 3, FALSE) * VLOOKUP(B341, 'Price Data'!A:D, 4, FALSE) * C341, "")</f>
        <v/>
      </c>
    </row>
    <row r="342">
      <c r="A342" s="3" t="n">
        <v>45745</v>
      </c>
      <c r="B342" t="inlineStr">
        <is>
          <t>ING-045</t>
        </is>
      </c>
      <c r="C342" t="n">
        <v>1</v>
      </c>
      <c r="D342" t="inlineStr">
        <is>
          <t>Expiring</t>
        </is>
      </c>
      <c r="E342" t="inlineStr">
        <is>
          <t>Strong Maybe</t>
        </is>
      </c>
      <c r="F342" t="inlineStr">
        <is>
          <t>Cut produce | As is</t>
        </is>
      </c>
      <c r="G342" s="13">
        <f>IFERROR(VLOOKUP(B342, 'Price Data'!A:D, 3, FALSE) * VLOOKUP(B342, 'Price Data'!A:D, 4, FALSE) * C342, "")</f>
        <v/>
      </c>
    </row>
    <row r="343">
      <c r="A343" s="3" t="n">
        <v>45745</v>
      </c>
      <c r="B343" t="inlineStr">
        <is>
          <t>ING-156</t>
        </is>
      </c>
      <c r="C343" t="n">
        <v>5</v>
      </c>
      <c r="D343" t="inlineStr">
        <is>
          <t>Expiring</t>
        </is>
      </c>
      <c r="E343" t="inlineStr">
        <is>
          <t>Yes</t>
        </is>
      </c>
      <c r="F343" t="inlineStr">
        <is>
          <t>As is</t>
        </is>
      </c>
      <c r="G343" s="13">
        <f>IFERROR(VLOOKUP(B343, 'Price Data'!A:D, 3, FALSE) * VLOOKUP(B343, 'Price Data'!A:D, 4, FALSE) * C343, "")</f>
        <v/>
      </c>
    </row>
    <row r="344">
      <c r="A344" s="3" t="n">
        <v>45745</v>
      </c>
      <c r="B344" t="inlineStr">
        <is>
          <t>ING-025</t>
        </is>
      </c>
      <c r="C344" t="n">
        <v>1.5</v>
      </c>
      <c r="D344" t="inlineStr">
        <is>
          <t>Expiring</t>
        </is>
      </c>
      <c r="E344" t="inlineStr">
        <is>
          <t>No</t>
        </is>
      </c>
      <c r="F344" t="inlineStr">
        <is>
          <t>Minimal Utility</t>
        </is>
      </c>
      <c r="G344" s="13">
        <f>IFERROR(VLOOKUP(B344, 'Price Data'!A:D, 3, FALSE) * VLOOKUP(B344, 'Price Data'!A:D, 4, FALSE) * C344, "")</f>
        <v/>
      </c>
    </row>
    <row r="345">
      <c r="A345" s="3" t="n">
        <v>45745</v>
      </c>
      <c r="B345" t="inlineStr">
        <is>
          <t>ING-058</t>
        </is>
      </c>
      <c r="C345" t="n">
        <v>2.5</v>
      </c>
      <c r="D345" t="inlineStr">
        <is>
          <t>Expiring</t>
        </is>
      </c>
      <c r="E345" t="inlineStr">
        <is>
          <t>Yes</t>
        </is>
      </c>
      <c r="F345" t="inlineStr">
        <is>
          <t>Freeze (rec)</t>
        </is>
      </c>
      <c r="G345" s="13">
        <f>IFERROR(VLOOKUP(B345, 'Price Data'!A:D, 3, FALSE) * VLOOKUP(B345, 'Price Data'!A:D, 4, FALSE) * C345, "")</f>
        <v/>
      </c>
    </row>
    <row r="346">
      <c r="A346" s="3" t="n">
        <v>45745</v>
      </c>
      <c r="B346" t="inlineStr">
        <is>
          <t>ING-114</t>
        </is>
      </c>
      <c r="C346" t="n">
        <v>3</v>
      </c>
      <c r="D346" t="inlineStr">
        <is>
          <t>Expiring</t>
        </is>
      </c>
      <c r="E346" t="inlineStr">
        <is>
          <t>Yes</t>
        </is>
      </c>
      <c r="F346" s="2" t="inlineStr">
        <is>
          <t>Freeze (req)</t>
        </is>
      </c>
      <c r="G346" s="13">
        <f>IFERROR(VLOOKUP(B346, 'Price Data'!A:D, 3, FALSE) * VLOOKUP(B346, 'Price Data'!A:D, 4, FALSE) * C346, "")</f>
        <v/>
      </c>
    </row>
    <row r="347">
      <c r="A347" s="3" t="n">
        <v>45745</v>
      </c>
      <c r="B347" t="inlineStr">
        <is>
          <t>ING-079</t>
        </is>
      </c>
      <c r="C347" t="n">
        <v>1</v>
      </c>
      <c r="D347" t="inlineStr">
        <is>
          <t>Expiring</t>
        </is>
      </c>
      <c r="E347" t="inlineStr">
        <is>
          <t>No</t>
        </is>
      </c>
      <c r="F347" s="2" t="inlineStr">
        <is>
          <t>Minimal Utility</t>
        </is>
      </c>
      <c r="G347" s="13">
        <f>IFERROR(VLOOKUP(B347, 'Price Data'!A:D, 3, FALSE) * VLOOKUP(B347, 'Price Data'!A:D, 4, FALSE) * C347, "")</f>
        <v/>
      </c>
    </row>
    <row r="348">
      <c r="A348" s="3" t="n">
        <v>45745</v>
      </c>
      <c r="B348" t="inlineStr">
        <is>
          <t>ING-004</t>
        </is>
      </c>
      <c r="C348" t="n">
        <v>2</v>
      </c>
      <c r="D348" t="inlineStr">
        <is>
          <t>Expiring</t>
        </is>
      </c>
      <c r="E348" t="inlineStr">
        <is>
          <t>No</t>
        </is>
      </c>
      <c r="F348" t="inlineStr">
        <is>
          <t>Minimal Utility</t>
        </is>
      </c>
      <c r="G348" s="13">
        <f>IFERROR(VLOOKUP(B348, 'Price Data'!A:D, 3, FALSE) * VLOOKUP(B348, 'Price Data'!A:D, 4, FALSE) * C348, "")</f>
        <v/>
      </c>
    </row>
    <row r="349">
      <c r="A349" s="3" t="n">
        <v>45745</v>
      </c>
      <c r="B349" t="inlineStr">
        <is>
          <t>ING-137</t>
        </is>
      </c>
      <c r="C349" t="n">
        <v>1</v>
      </c>
      <c r="D349" t="inlineStr">
        <is>
          <t>Expiring</t>
        </is>
      </c>
      <c r="E349" t="inlineStr">
        <is>
          <t>Yes</t>
        </is>
      </c>
      <c r="F349" t="inlineStr">
        <is>
          <t>Freeze (req)</t>
        </is>
      </c>
      <c r="G349" s="13">
        <f>IFERROR(VLOOKUP(B349, 'Price Data'!A:D, 3, FALSE) * VLOOKUP(B349, 'Price Data'!A:D, 4, FALSE) * C349, "")</f>
        <v/>
      </c>
    </row>
    <row r="350">
      <c r="A350" s="3" t="n">
        <v>45745</v>
      </c>
      <c r="B350" t="inlineStr">
        <is>
          <t>ING-056</t>
        </is>
      </c>
      <c r="C350" t="n">
        <v>1</v>
      </c>
      <c r="D350" t="inlineStr">
        <is>
          <t>Hot Hold</t>
        </is>
      </c>
      <c r="E350" t="inlineStr">
        <is>
          <t>No</t>
        </is>
      </c>
      <c r="F350" t="inlineStr">
        <is>
          <t>Temp. logs req. | Cooked produce | Minimal Utility</t>
        </is>
      </c>
      <c r="G350" s="13">
        <f>IFERROR(VLOOKUP(B350, 'Price Data'!A:D, 3, FALSE) * VLOOKUP(B350, 'Price Data'!A:D, 4, FALSE) * C350, "")</f>
        <v/>
      </c>
    </row>
    <row r="351">
      <c r="A351" s="3" t="n">
        <v>45745</v>
      </c>
      <c r="B351" t="inlineStr">
        <is>
          <t>ING-016</t>
        </is>
      </c>
      <c r="C351" t="n">
        <v>4</v>
      </c>
      <c r="D351" t="inlineStr">
        <is>
          <t>Expiring</t>
        </is>
      </c>
      <c r="E351" t="inlineStr">
        <is>
          <t>Strong Maybe</t>
        </is>
      </c>
      <c r="F351" t="inlineStr">
        <is>
          <t>Freeze (req) | Seafood</t>
        </is>
      </c>
      <c r="G351" s="13">
        <f>IFERROR(VLOOKUP(B351, 'Price Data'!A:D, 3, FALSE) * VLOOKUP(B351, 'Price Data'!A:D, 4, FALSE) * C351, "")</f>
        <v/>
      </c>
    </row>
    <row r="352">
      <c r="A352" s="3" t="n">
        <v>45745</v>
      </c>
      <c r="B352" t="inlineStr">
        <is>
          <t>ING-056</t>
        </is>
      </c>
      <c r="C352" t="n">
        <v>6</v>
      </c>
      <c r="D352" t="inlineStr">
        <is>
          <t>Hot Hold</t>
        </is>
      </c>
      <c r="E352" t="inlineStr">
        <is>
          <t>No</t>
        </is>
      </c>
      <c r="F352" t="inlineStr">
        <is>
          <t>Temp. logs req. | Cooked produce | Minimal Utility</t>
        </is>
      </c>
      <c r="G352" s="13">
        <f>IFERROR(VLOOKUP(B352, 'Price Data'!A:D, 3, FALSE) * VLOOKUP(B352, 'Price Data'!A:D, 4, FALSE) * C352, "")</f>
        <v/>
      </c>
    </row>
    <row r="353">
      <c r="A353" s="3" t="n">
        <v>45745</v>
      </c>
      <c r="B353" t="inlineStr">
        <is>
          <t>ING-087</t>
        </is>
      </c>
      <c r="C353" t="n">
        <v>2.5</v>
      </c>
      <c r="D353" t="inlineStr">
        <is>
          <t>Expiring</t>
        </is>
      </c>
      <c r="E353" t="inlineStr">
        <is>
          <t>Weak Maybe</t>
        </is>
      </c>
      <c r="F353" t="inlineStr">
        <is>
          <t>No tamper-proof seal</t>
        </is>
      </c>
      <c r="G353" s="13">
        <f>IFERROR(VLOOKUP(B353, 'Price Data'!A:D, 3, FALSE) * VLOOKUP(B353, 'Price Data'!A:D, 4, FALSE) * C353, "")</f>
        <v/>
      </c>
    </row>
    <row r="354">
      <c r="A354" s="3" t="n">
        <v>45745</v>
      </c>
      <c r="B354" t="inlineStr">
        <is>
          <t>ING-046</t>
        </is>
      </c>
      <c r="C354" t="n">
        <v>4.5</v>
      </c>
      <c r="D354" t="inlineStr">
        <is>
          <t>Expiring</t>
        </is>
      </c>
      <c r="E354" t="inlineStr">
        <is>
          <t>Yes</t>
        </is>
      </c>
      <c r="F354" t="inlineStr">
        <is>
          <t>Freeze (req)</t>
        </is>
      </c>
      <c r="G354" s="13">
        <f>IFERROR(VLOOKUP(B354, 'Price Data'!A:D, 3, FALSE) * VLOOKUP(B354, 'Price Data'!A:D, 4, FALSE) * C354, "")</f>
        <v/>
      </c>
    </row>
    <row r="355">
      <c r="A355" s="3" t="n">
        <v>45747</v>
      </c>
      <c r="B355" t="inlineStr">
        <is>
          <t>ING-121</t>
        </is>
      </c>
      <c r="C355" t="n">
        <v>0.5</v>
      </c>
      <c r="D355" t="inlineStr">
        <is>
          <t>Expiring</t>
        </is>
      </c>
      <c r="E355" t="inlineStr">
        <is>
          <t>Weak Maybe</t>
        </is>
      </c>
      <c r="F355" s="2" t="inlineStr">
        <is>
          <t>No tamper-proof seal</t>
        </is>
      </c>
      <c r="G355" s="13">
        <f>IFERROR(VLOOKUP(B355, 'Price Data'!A:D, 3, FALSE) * VLOOKUP(B355, 'Price Data'!A:D, 4, FALSE) * C355, "")</f>
        <v/>
      </c>
    </row>
    <row r="356">
      <c r="A356" s="3" t="n">
        <v>45747</v>
      </c>
      <c r="B356" t="inlineStr">
        <is>
          <t>ING-035</t>
        </is>
      </c>
      <c r="C356" t="n">
        <v>6.5</v>
      </c>
      <c r="D356" t="inlineStr">
        <is>
          <t>Expiring</t>
        </is>
      </c>
      <c r="E356" t="inlineStr">
        <is>
          <t>Yes</t>
        </is>
      </c>
      <c r="F356" t="inlineStr">
        <is>
          <t>As is</t>
        </is>
      </c>
      <c r="G356" s="13">
        <f>IFERROR(VLOOKUP(B356, 'Price Data'!A:D, 3, FALSE) * VLOOKUP(B356, 'Price Data'!A:D, 4, FALSE) * C356, "")</f>
        <v/>
      </c>
    </row>
    <row r="357">
      <c r="A357" s="3" t="n">
        <v>45747</v>
      </c>
      <c r="B357" t="inlineStr">
        <is>
          <t>ING-148</t>
        </is>
      </c>
      <c r="C357" t="n">
        <v>1</v>
      </c>
      <c r="D357" t="inlineStr">
        <is>
          <t>Hot Hold</t>
        </is>
      </c>
      <c r="E357" t="inlineStr">
        <is>
          <t>Maybe</t>
        </is>
      </c>
      <c r="F357" t="inlineStr">
        <is>
          <t>Temp. logs req.</t>
        </is>
      </c>
      <c r="G357" s="13">
        <f>IFERROR(VLOOKUP(B357, 'Price Data'!A:D, 3, FALSE) * VLOOKUP(B357, 'Price Data'!A:D, 4, FALSE) * C357, "")</f>
        <v/>
      </c>
    </row>
    <row r="358">
      <c r="A358" s="3" t="n">
        <v>45747</v>
      </c>
      <c r="B358" t="inlineStr">
        <is>
          <t>ING-035</t>
        </is>
      </c>
      <c r="C358" t="n">
        <v>1</v>
      </c>
      <c r="D358" t="inlineStr">
        <is>
          <t>Expiring</t>
        </is>
      </c>
      <c r="E358" t="inlineStr">
        <is>
          <t>No</t>
        </is>
      </c>
      <c r="F358" t="inlineStr">
        <is>
          <t>Cut produce | No tamper-proof seal</t>
        </is>
      </c>
      <c r="G358" s="13">
        <f>IFERROR(VLOOKUP(B358, 'Price Data'!A:D, 3, FALSE) * VLOOKUP(B358, 'Price Data'!A:D, 4, FALSE) * C358, "")</f>
        <v/>
      </c>
    </row>
    <row r="359">
      <c r="A359" s="3" t="n">
        <v>45747</v>
      </c>
      <c r="B359" t="inlineStr">
        <is>
          <t>ING-075</t>
        </is>
      </c>
      <c r="C359" t="n">
        <v>0.5</v>
      </c>
      <c r="D359" t="inlineStr">
        <is>
          <t>Expiring</t>
        </is>
      </c>
      <c r="E359" t="inlineStr">
        <is>
          <t>No</t>
        </is>
      </c>
      <c r="F359" t="inlineStr">
        <is>
          <t>No tamper-proof seal</t>
        </is>
      </c>
      <c r="G359" s="13">
        <f>IFERROR(VLOOKUP(B359, 'Price Data'!A:D, 3, FALSE) * VLOOKUP(B359, 'Price Data'!A:D, 4, FALSE) * C359, "")</f>
        <v/>
      </c>
    </row>
    <row r="360">
      <c r="A360" s="3" t="n">
        <v>45747</v>
      </c>
      <c r="B360" t="inlineStr">
        <is>
          <t>ING-072</t>
        </is>
      </c>
      <c r="C360" t="n">
        <v>1</v>
      </c>
      <c r="D360" t="inlineStr">
        <is>
          <t>Hot Hold</t>
        </is>
      </c>
      <c r="E360" t="inlineStr">
        <is>
          <t>Maybe</t>
        </is>
      </c>
      <c r="F360" t="inlineStr">
        <is>
          <t>Temp. logs req.</t>
        </is>
      </c>
      <c r="G360" s="13">
        <f>IFERROR(VLOOKUP(B360, 'Price Data'!A:D, 3, FALSE) * VLOOKUP(B360, 'Price Data'!A:D, 4, FALSE) * C360, "")</f>
        <v/>
      </c>
    </row>
    <row r="361">
      <c r="A361" s="3" t="n">
        <v>45747</v>
      </c>
      <c r="B361" t="inlineStr">
        <is>
          <t>ING-185</t>
        </is>
      </c>
      <c r="C361" t="n">
        <v>0.5</v>
      </c>
      <c r="D361" t="inlineStr">
        <is>
          <t>Expiring</t>
        </is>
      </c>
      <c r="E361" t="inlineStr">
        <is>
          <t>No</t>
        </is>
      </c>
      <c r="F361" s="2" t="inlineStr">
        <is>
          <t>No tamper-proof seal</t>
        </is>
      </c>
      <c r="G361" s="13">
        <f>IFERROR(VLOOKUP(B361, 'Price Data'!A:D, 3, FALSE) * VLOOKUP(B361, 'Price Data'!A:D, 4, FALSE) * C361, "")</f>
        <v/>
      </c>
    </row>
    <row r="362">
      <c r="A362" s="3" t="n">
        <v>45747</v>
      </c>
      <c r="B362" t="inlineStr">
        <is>
          <t>ING-071</t>
        </is>
      </c>
      <c r="C362" t="n">
        <v>0.5</v>
      </c>
      <c r="D362" t="inlineStr">
        <is>
          <t>Expiring</t>
        </is>
      </c>
      <c r="E362" t="inlineStr">
        <is>
          <t>No</t>
        </is>
      </c>
      <c r="F362" s="2" t="inlineStr">
        <is>
          <t>No tamper-proof seal, Freeze (req)</t>
        </is>
      </c>
      <c r="G362" s="13">
        <f>IFERROR(VLOOKUP(B362, 'Price Data'!A:D, 3, FALSE) * VLOOKUP(B362, 'Price Data'!A:D, 4, FALSE) * C362, "")</f>
        <v/>
      </c>
    </row>
    <row r="363">
      <c r="A363" s="3" t="n">
        <v>45747</v>
      </c>
      <c r="B363" t="inlineStr">
        <is>
          <t>ING-160</t>
        </is>
      </c>
      <c r="C363" t="n">
        <v>0.5</v>
      </c>
      <c r="D363" t="inlineStr">
        <is>
          <t>Expiring</t>
        </is>
      </c>
      <c r="E363" t="inlineStr">
        <is>
          <t>No</t>
        </is>
      </c>
      <c r="F363" t="inlineStr">
        <is>
          <t>No tamper-proof seal</t>
        </is>
      </c>
      <c r="G363" s="13">
        <f>IFERROR(VLOOKUP(B363, 'Price Data'!A:D, 3, FALSE) * VLOOKUP(B363, 'Price Data'!A:D, 4, FALSE) * C363, "")</f>
        <v/>
      </c>
    </row>
    <row r="364">
      <c r="A364" s="3" t="n">
        <v>45747</v>
      </c>
      <c r="B364" t="inlineStr">
        <is>
          <t>ING-150</t>
        </is>
      </c>
      <c r="C364" t="n">
        <v>6.5</v>
      </c>
      <c r="D364" t="inlineStr">
        <is>
          <t>Expiring</t>
        </is>
      </c>
      <c r="E364" t="inlineStr">
        <is>
          <t>Yes</t>
        </is>
      </c>
      <c r="F364" t="inlineStr">
        <is>
          <t>Freeze (req)</t>
        </is>
      </c>
      <c r="G364" s="13">
        <f>IFERROR(VLOOKUP(B364, 'Price Data'!A:D, 3, FALSE) * VLOOKUP(B364, 'Price Data'!A:D, 4, FALSE) * C364, "")</f>
        <v/>
      </c>
    </row>
    <row r="365">
      <c r="A365" s="3" t="n">
        <v>45747</v>
      </c>
      <c r="B365" t="inlineStr">
        <is>
          <t>ING-089</t>
        </is>
      </c>
      <c r="C365" t="n">
        <v>2.5</v>
      </c>
      <c r="D365" t="inlineStr">
        <is>
          <t>Expiring</t>
        </is>
      </c>
      <c r="E365" t="inlineStr">
        <is>
          <t>Yes</t>
        </is>
      </c>
      <c r="F365" t="inlineStr">
        <is>
          <t>Freeze (req)</t>
        </is>
      </c>
      <c r="G365" s="13">
        <f>IFERROR(VLOOKUP(B365, 'Price Data'!A:D, 3, FALSE) * VLOOKUP(B365, 'Price Data'!A:D, 4, FALSE) * C365, "")</f>
        <v/>
      </c>
    </row>
    <row r="366">
      <c r="A366" s="3" t="n">
        <v>45747</v>
      </c>
      <c r="B366" t="inlineStr">
        <is>
          <t>ING-033</t>
        </is>
      </c>
      <c r="C366" t="n">
        <v>2</v>
      </c>
      <c r="D366" t="inlineStr">
        <is>
          <t>Expiring</t>
        </is>
      </c>
      <c r="E366" t="inlineStr">
        <is>
          <t>No</t>
        </is>
      </c>
      <c r="F366" t="inlineStr">
        <is>
          <t>Cut produce | No tamper-proof seal</t>
        </is>
      </c>
      <c r="G366" s="13">
        <f>IFERROR(VLOOKUP(B366, 'Price Data'!A:D, 3, FALSE) * VLOOKUP(B366, 'Price Data'!A:D, 4, FALSE) * C366, "")</f>
        <v/>
      </c>
    </row>
    <row r="367">
      <c r="A367" s="3" t="n">
        <v>45747</v>
      </c>
      <c r="B367" t="inlineStr">
        <is>
          <t>ING-019</t>
        </is>
      </c>
      <c r="C367" t="n">
        <v>0.5</v>
      </c>
      <c r="D367" t="inlineStr">
        <is>
          <t>Expiring</t>
        </is>
      </c>
      <c r="E367" t="inlineStr">
        <is>
          <t>Weak Maybe</t>
        </is>
      </c>
      <c r="F367" t="inlineStr">
        <is>
          <t>No tamper-proof seal, Freeze (req)</t>
        </is>
      </c>
      <c r="G367" s="13">
        <f>IFERROR(VLOOKUP(B367, 'Price Data'!A:D, 3, FALSE) * VLOOKUP(B367, 'Price Data'!A:D, 4, FALSE) * C367, "")</f>
        <v/>
      </c>
    </row>
    <row r="368">
      <c r="A368" s="3" t="n">
        <v>45747</v>
      </c>
      <c r="B368" t="inlineStr">
        <is>
          <t>ING-122</t>
        </is>
      </c>
      <c r="C368" t="n">
        <v>5.5</v>
      </c>
      <c r="D368" t="inlineStr">
        <is>
          <t>Expiring</t>
        </is>
      </c>
      <c r="E368" t="inlineStr">
        <is>
          <t>Maybe</t>
        </is>
      </c>
      <c r="F368" t="inlineStr">
        <is>
          <t>As is, Minimal Utility</t>
        </is>
      </c>
      <c r="G368" s="13">
        <f>IFERROR(VLOOKUP(B368, 'Price Data'!A:D, 3, FALSE) * VLOOKUP(B368, 'Price Data'!A:D, 4, FALSE) * C368, "")</f>
        <v/>
      </c>
    </row>
    <row r="369">
      <c r="A369" s="3" t="n">
        <v>45747</v>
      </c>
      <c r="B369" t="inlineStr">
        <is>
          <t>ING-097</t>
        </is>
      </c>
      <c r="C369" t="n">
        <v>1</v>
      </c>
      <c r="D369" t="inlineStr">
        <is>
          <t>Hot Hold</t>
        </is>
      </c>
      <c r="E369" t="inlineStr">
        <is>
          <t>Weak Maybe</t>
        </is>
      </c>
      <c r="F369" s="2" t="inlineStr">
        <is>
          <t>Temp. logs req. | Minimal Utility</t>
        </is>
      </c>
      <c r="G369" s="13">
        <f>IFERROR(VLOOKUP(B369, 'Price Data'!A:D, 3, FALSE) * VLOOKUP(B369, 'Price Data'!A:D, 4, FALSE) * C369, "")</f>
        <v/>
      </c>
    </row>
    <row r="370">
      <c r="A370" s="3" t="n">
        <v>45747</v>
      </c>
      <c r="B370" t="inlineStr">
        <is>
          <t>ING-028</t>
        </is>
      </c>
      <c r="C370" t="n">
        <v>4</v>
      </c>
      <c r="D370" t="inlineStr">
        <is>
          <t>Hot Hold</t>
        </is>
      </c>
      <c r="E370" t="inlineStr">
        <is>
          <t>No</t>
        </is>
      </c>
      <c r="F370" t="inlineStr">
        <is>
          <t>No Date | Temp. logs req.</t>
        </is>
      </c>
      <c r="G370" s="13">
        <f>IFERROR(VLOOKUP(B370, 'Price Data'!A:D, 3, FALSE) * VLOOKUP(B370, 'Price Data'!A:D, 4, FALSE) * C370, "")</f>
        <v/>
      </c>
    </row>
    <row r="371">
      <c r="A371" s="3" t="n">
        <v>45747</v>
      </c>
      <c r="B371" t="inlineStr">
        <is>
          <t>ING-111</t>
        </is>
      </c>
      <c r="C371" t="n">
        <v>0.5</v>
      </c>
      <c r="D371" t="inlineStr">
        <is>
          <t>Expiring</t>
        </is>
      </c>
      <c r="E371" t="inlineStr">
        <is>
          <t>Yes</t>
        </is>
      </c>
      <c r="F371" s="2" t="inlineStr">
        <is>
          <t>Freeze (req)</t>
        </is>
      </c>
      <c r="G371" s="13">
        <f>IFERROR(VLOOKUP(B371, 'Price Data'!A:D, 3, FALSE) * VLOOKUP(B371, 'Price Data'!A:D, 4, FALSE) * C371, "")</f>
        <v/>
      </c>
    </row>
    <row r="372">
      <c r="A372" s="3" t="n">
        <v>45747</v>
      </c>
      <c r="B372" t="inlineStr">
        <is>
          <t>ING-041</t>
        </is>
      </c>
      <c r="C372" t="n">
        <v>3</v>
      </c>
      <c r="D372" t="inlineStr">
        <is>
          <t>Expiring</t>
        </is>
      </c>
      <c r="E372" t="inlineStr">
        <is>
          <t>Yes</t>
        </is>
      </c>
      <c r="F372" s="2" t="inlineStr">
        <is>
          <t>As is</t>
        </is>
      </c>
      <c r="G372" s="13">
        <f>IFERROR(VLOOKUP(B372, 'Price Data'!A:D, 3, FALSE) * VLOOKUP(B372, 'Price Data'!A:D, 4, FALSE) * C372, "")</f>
        <v/>
      </c>
    </row>
    <row r="373">
      <c r="A373" s="3" t="n">
        <v>45747</v>
      </c>
      <c r="B373" t="inlineStr">
        <is>
          <t>ING-159</t>
        </is>
      </c>
      <c r="C373" t="n">
        <v>1.5</v>
      </c>
      <c r="D373" t="inlineStr">
        <is>
          <t>Hot Hold</t>
        </is>
      </c>
      <c r="E373" t="inlineStr">
        <is>
          <t>Maybe</t>
        </is>
      </c>
      <c r="F373" t="inlineStr">
        <is>
          <t>Freeze (req)</t>
        </is>
      </c>
      <c r="G373" s="13">
        <f>IFERROR(VLOOKUP(B373, 'Price Data'!A:D, 3, FALSE) * VLOOKUP(B373, 'Price Data'!A:D, 4, FALSE) * C373, "")</f>
        <v/>
      </c>
    </row>
    <row r="374">
      <c r="A374" s="3" t="n">
        <v>45747</v>
      </c>
      <c r="B374" t="inlineStr">
        <is>
          <t>ING-041</t>
        </is>
      </c>
      <c r="C374" t="n">
        <v>1</v>
      </c>
      <c r="D374" t="inlineStr">
        <is>
          <t>Expiring</t>
        </is>
      </c>
      <c r="E374" t="inlineStr">
        <is>
          <t>Yes</t>
        </is>
      </c>
      <c r="F374" t="inlineStr">
        <is>
          <t>As is</t>
        </is>
      </c>
      <c r="G374" s="13">
        <f>IFERROR(VLOOKUP(B374, 'Price Data'!A:D, 3, FALSE) * VLOOKUP(B374, 'Price Data'!A:D, 4, FALSE) * C374, "")</f>
        <v/>
      </c>
    </row>
    <row r="375">
      <c r="A375" s="3" t="n">
        <v>45747</v>
      </c>
      <c r="B375" t="inlineStr">
        <is>
          <t>ING-034</t>
        </is>
      </c>
      <c r="C375" t="n">
        <v>4.5</v>
      </c>
      <c r="D375" t="inlineStr">
        <is>
          <t>Expiring</t>
        </is>
      </c>
      <c r="E375" t="inlineStr">
        <is>
          <t>Yes</t>
        </is>
      </c>
      <c r="F375" t="inlineStr">
        <is>
          <t>As is</t>
        </is>
      </c>
      <c r="G375" s="13">
        <f>IFERROR(VLOOKUP(B375, 'Price Data'!A:D, 3, FALSE) * VLOOKUP(B375, 'Price Data'!A:D, 4, FALSE) * C375, "")</f>
        <v/>
      </c>
    </row>
    <row r="376">
      <c r="A376" s="3" t="n">
        <v>45747</v>
      </c>
      <c r="B376" t="inlineStr">
        <is>
          <t>ING-136</t>
        </is>
      </c>
      <c r="C376" t="n">
        <v>2.5</v>
      </c>
      <c r="D376" t="inlineStr">
        <is>
          <t>Expiring</t>
        </is>
      </c>
      <c r="E376" t="inlineStr">
        <is>
          <t>Yes</t>
        </is>
      </c>
      <c r="F376" t="inlineStr">
        <is>
          <t>As is</t>
        </is>
      </c>
      <c r="G376" s="13">
        <f>IFERROR(VLOOKUP(B376, 'Price Data'!A:D, 3, FALSE) * VLOOKUP(B376, 'Price Data'!A:D, 4, FALSE) * C376, "")</f>
        <v/>
      </c>
    </row>
    <row r="377">
      <c r="A377" s="3" t="n">
        <v>45747</v>
      </c>
      <c r="B377" t="inlineStr">
        <is>
          <t>ING-172</t>
        </is>
      </c>
      <c r="C377" t="n">
        <v>3</v>
      </c>
      <c r="D377" t="inlineStr">
        <is>
          <t>Expiring</t>
        </is>
      </c>
      <c r="E377" t="inlineStr">
        <is>
          <t>Yes</t>
        </is>
      </c>
      <c r="F377" t="inlineStr">
        <is>
          <t>Freeze (rec)</t>
        </is>
      </c>
      <c r="G377" s="13">
        <f>IFERROR(VLOOKUP(B377, 'Price Data'!A:D, 3, FALSE) * VLOOKUP(B377, 'Price Data'!A:D, 4, FALSE) * C377, "")</f>
        <v/>
      </c>
    </row>
    <row r="378">
      <c r="A378" s="3" t="n">
        <v>45747</v>
      </c>
      <c r="B378" t="inlineStr">
        <is>
          <t>ING-034</t>
        </is>
      </c>
      <c r="C378" t="n">
        <v>3</v>
      </c>
      <c r="D378" t="inlineStr">
        <is>
          <t>Expiring</t>
        </is>
      </c>
      <c r="E378" t="inlineStr">
        <is>
          <t>Yes</t>
        </is>
      </c>
      <c r="F378" t="inlineStr">
        <is>
          <t>As is</t>
        </is>
      </c>
      <c r="G378" s="13">
        <f>IFERROR(VLOOKUP(B378, 'Price Data'!A:D, 3, FALSE) * VLOOKUP(B378, 'Price Data'!A:D, 4, FALSE) * C378, "")</f>
        <v/>
      </c>
    </row>
    <row r="379">
      <c r="A379" s="3" t="n">
        <v>45747</v>
      </c>
      <c r="B379" t="inlineStr">
        <is>
          <t>ING-067</t>
        </is>
      </c>
      <c r="C379" t="n">
        <v>4</v>
      </c>
      <c r="D379" t="inlineStr">
        <is>
          <t>Expiring</t>
        </is>
      </c>
      <c r="E379" t="inlineStr">
        <is>
          <t>Yes</t>
        </is>
      </c>
      <c r="F379" t="inlineStr">
        <is>
          <t>Freeze (req)</t>
        </is>
      </c>
      <c r="G379" s="13">
        <f>IFERROR(VLOOKUP(B379, 'Price Data'!A:D, 3, FALSE) * VLOOKUP(B379, 'Price Data'!A:D, 4, FALSE) * C379, "")</f>
        <v/>
      </c>
    </row>
    <row r="380">
      <c r="A380" s="3" t="n">
        <v>45747</v>
      </c>
      <c r="B380" t="inlineStr">
        <is>
          <t>ING-169</t>
        </is>
      </c>
      <c r="C380" t="n">
        <v>2</v>
      </c>
      <c r="D380" t="inlineStr">
        <is>
          <t>Expiring</t>
        </is>
      </c>
      <c r="E380" t="inlineStr">
        <is>
          <t>Maybe</t>
        </is>
      </c>
      <c r="F380" s="2" t="inlineStr">
        <is>
          <t>As is | Minimal Utility</t>
        </is>
      </c>
      <c r="G380" s="13">
        <f>IFERROR(VLOOKUP(B380, 'Price Data'!A:D, 3, FALSE) * VLOOKUP(B380, 'Price Data'!A:D, 4, FALSE) * C380, "")</f>
        <v/>
      </c>
    </row>
    <row r="381">
      <c r="A381" s="3" t="n">
        <v>45747</v>
      </c>
      <c r="B381" t="inlineStr">
        <is>
          <t>ING-157</t>
        </is>
      </c>
      <c r="C381" t="n">
        <v>1</v>
      </c>
      <c r="D381" t="inlineStr">
        <is>
          <t>Expiring</t>
        </is>
      </c>
      <c r="E381" t="inlineStr">
        <is>
          <t>Yes</t>
        </is>
      </c>
      <c r="F381" s="2" t="inlineStr">
        <is>
          <t>As is</t>
        </is>
      </c>
      <c r="G381" s="13">
        <f>IFERROR(VLOOKUP(B381, 'Price Data'!A:D, 3, FALSE) * VLOOKUP(B381, 'Price Data'!A:D, 4, FALSE) * C381, "")</f>
        <v/>
      </c>
    </row>
    <row r="382">
      <c r="A382" s="3" t="n">
        <v>45747</v>
      </c>
      <c r="B382" t="inlineStr">
        <is>
          <t>ING-136</t>
        </is>
      </c>
      <c r="C382" t="n">
        <v>4.5</v>
      </c>
      <c r="D382" t="inlineStr">
        <is>
          <t>Expiring</t>
        </is>
      </c>
      <c r="E382" t="inlineStr">
        <is>
          <t>Yes</t>
        </is>
      </c>
      <c r="F382" t="inlineStr">
        <is>
          <t>As is</t>
        </is>
      </c>
      <c r="G382" s="13">
        <f>IFERROR(VLOOKUP(B382, 'Price Data'!A:D, 3, FALSE) * VLOOKUP(B382, 'Price Data'!A:D, 4, FALSE) * C382, "")</f>
        <v/>
      </c>
    </row>
    <row r="383">
      <c r="A383" s="3" t="n">
        <v>45748</v>
      </c>
      <c r="B383" t="inlineStr">
        <is>
          <t>ING-033</t>
        </is>
      </c>
      <c r="C383" t="n">
        <v>1.5</v>
      </c>
      <c r="D383" t="inlineStr">
        <is>
          <t>Expiring</t>
        </is>
      </c>
      <c r="E383" t="inlineStr">
        <is>
          <t>No</t>
        </is>
      </c>
      <c r="F383" s="2" t="inlineStr">
        <is>
          <t>Cut produce | No tamper-proof seal</t>
        </is>
      </c>
      <c r="G383" s="13">
        <f>IFERROR(VLOOKUP(B383, 'Price Data'!A:D, 3, FALSE) * VLOOKUP(B383, 'Price Data'!A:D, 4, FALSE) * C383, "")</f>
        <v/>
      </c>
    </row>
    <row r="384">
      <c r="A384" s="3" t="n">
        <v>45748</v>
      </c>
      <c r="B384" t="inlineStr">
        <is>
          <t>ING-042</t>
        </is>
      </c>
      <c r="C384" t="n">
        <v>0.5</v>
      </c>
      <c r="D384" t="inlineStr">
        <is>
          <t>Expiring</t>
        </is>
      </c>
      <c r="E384" t="inlineStr">
        <is>
          <t>No</t>
        </is>
      </c>
      <c r="F384" s="2" t="inlineStr">
        <is>
          <t>Minimal Utility</t>
        </is>
      </c>
      <c r="G384" s="13">
        <f>IFERROR(VLOOKUP(B384, 'Price Data'!A:D, 3, FALSE) * VLOOKUP(B384, 'Price Data'!A:D, 4, FALSE) * C384, "")</f>
        <v/>
      </c>
    </row>
    <row r="385">
      <c r="A385" s="3" t="n">
        <v>45748</v>
      </c>
      <c r="B385" t="inlineStr">
        <is>
          <t>ING-115</t>
        </is>
      </c>
      <c r="C385" t="n">
        <v>1</v>
      </c>
      <c r="D385" t="inlineStr">
        <is>
          <t>Expiring</t>
        </is>
      </c>
      <c r="E385" t="inlineStr">
        <is>
          <t>Maybe</t>
        </is>
      </c>
      <c r="F385" t="inlineStr">
        <is>
          <t>Seafood</t>
        </is>
      </c>
      <c r="G385" s="13">
        <f>IFERROR(VLOOKUP(B385, 'Price Data'!A:D, 3, FALSE) * VLOOKUP(B385, 'Price Data'!A:D, 4, FALSE) * C385, "")</f>
        <v/>
      </c>
    </row>
    <row r="386">
      <c r="A386" s="1" t="n">
        <v>45748</v>
      </c>
      <c r="B386" t="inlineStr">
        <is>
          <t>ING-182</t>
        </is>
      </c>
      <c r="C386" t="n">
        <v>1.5</v>
      </c>
      <c r="D386" t="inlineStr">
        <is>
          <t>Expiring</t>
        </is>
      </c>
      <c r="E386" t="inlineStr">
        <is>
          <t>Weak Maybe</t>
        </is>
      </c>
      <c r="F386" t="inlineStr">
        <is>
          <t>Cut produce</t>
        </is>
      </c>
      <c r="G386" s="13">
        <f>IFERROR(VLOOKUP(B386, 'Price Data'!A:D, 3, FALSE) * VLOOKUP(B386, 'Price Data'!A:D, 4, FALSE) * C386, "")</f>
        <v/>
      </c>
    </row>
    <row r="387">
      <c r="A387" s="1" t="n">
        <v>45748</v>
      </c>
      <c r="B387" t="inlineStr">
        <is>
          <t>ING-110</t>
        </is>
      </c>
      <c r="C387" t="n">
        <v>1.5</v>
      </c>
      <c r="D387" t="inlineStr">
        <is>
          <t>Expiring</t>
        </is>
      </c>
      <c r="E387" t="inlineStr">
        <is>
          <t>Yes</t>
        </is>
      </c>
      <c r="F387" t="inlineStr">
        <is>
          <t>Freeze (req)</t>
        </is>
      </c>
      <c r="G387" s="13">
        <f>IFERROR(VLOOKUP(B387, 'Price Data'!A:D, 3, FALSE) * VLOOKUP(B387, 'Price Data'!A:D, 4, FALSE) * C387, "")</f>
        <v/>
      </c>
    </row>
    <row r="388">
      <c r="A388" s="1" t="n">
        <v>45748</v>
      </c>
      <c r="B388" t="inlineStr">
        <is>
          <t>ING-132</t>
        </is>
      </c>
      <c r="C388" t="n">
        <v>2</v>
      </c>
      <c r="D388" t="inlineStr">
        <is>
          <t>Expiring</t>
        </is>
      </c>
      <c r="E388" t="inlineStr">
        <is>
          <t>Yes</t>
        </is>
      </c>
      <c r="F388" t="inlineStr">
        <is>
          <t>As is</t>
        </is>
      </c>
      <c r="G388" s="13">
        <f>IFERROR(VLOOKUP(B388, 'Price Data'!A:D, 3, FALSE) * VLOOKUP(B388, 'Price Data'!A:D, 4, FALSE) * C388, "")</f>
        <v/>
      </c>
    </row>
    <row r="389">
      <c r="A389" s="1" t="n">
        <v>45748</v>
      </c>
      <c r="B389" t="inlineStr">
        <is>
          <t>ING-168</t>
        </is>
      </c>
      <c r="C389" t="n">
        <v>6</v>
      </c>
      <c r="D389" t="inlineStr">
        <is>
          <t>Expiring</t>
        </is>
      </c>
      <c r="E389" t="inlineStr">
        <is>
          <t>Maybe</t>
        </is>
      </c>
      <c r="F389" t="inlineStr">
        <is>
          <t>Minimal Utility</t>
        </is>
      </c>
      <c r="G389" s="13">
        <f>IFERROR(VLOOKUP(B389, 'Price Data'!A:D, 3, FALSE) * VLOOKUP(B389, 'Price Data'!A:D, 4, FALSE) * C389, "")</f>
        <v/>
      </c>
    </row>
    <row r="390">
      <c r="A390" s="1" t="n">
        <v>45748</v>
      </c>
      <c r="B390" t="inlineStr">
        <is>
          <t>ING-075</t>
        </is>
      </c>
      <c r="C390" t="n">
        <v>0.5</v>
      </c>
      <c r="D390" t="inlineStr">
        <is>
          <t>Expiring</t>
        </is>
      </c>
      <c r="E390" t="inlineStr">
        <is>
          <t>No</t>
        </is>
      </c>
      <c r="F390" t="inlineStr">
        <is>
          <t>No tamper-proof seal</t>
        </is>
      </c>
      <c r="G390" s="13">
        <f>IFERROR(VLOOKUP(B390, 'Price Data'!A:D, 3, FALSE) * VLOOKUP(B390, 'Price Data'!A:D, 4, FALSE) * C390, "")</f>
        <v/>
      </c>
    </row>
    <row r="391">
      <c r="A391" s="1" t="n">
        <v>45748</v>
      </c>
      <c r="B391" t="inlineStr">
        <is>
          <t>ING-064</t>
        </is>
      </c>
      <c r="C391" t="n">
        <v>1.5</v>
      </c>
      <c r="D391" t="inlineStr">
        <is>
          <t>Expiring</t>
        </is>
      </c>
      <c r="E391" t="inlineStr">
        <is>
          <t>No</t>
        </is>
      </c>
      <c r="F391" t="inlineStr">
        <is>
          <t>Minimal Utility</t>
        </is>
      </c>
      <c r="G391" s="13">
        <f>IFERROR(VLOOKUP(B391, 'Price Data'!A:D, 3, FALSE) * VLOOKUP(B391, 'Price Data'!A:D, 4, FALSE) * C391, "")</f>
        <v/>
      </c>
    </row>
    <row r="392">
      <c r="A392" s="1" t="n">
        <v>45748</v>
      </c>
      <c r="B392" t="inlineStr">
        <is>
          <t>ING-067</t>
        </is>
      </c>
      <c r="C392" t="n">
        <v>2.5</v>
      </c>
      <c r="D392" t="inlineStr">
        <is>
          <t>Expiring</t>
        </is>
      </c>
      <c r="E392" t="inlineStr">
        <is>
          <t>Yes</t>
        </is>
      </c>
      <c r="F392" t="inlineStr">
        <is>
          <t>Freeze (req)</t>
        </is>
      </c>
      <c r="G392" s="13">
        <f>IFERROR(VLOOKUP(B392, 'Price Data'!A:D, 3, FALSE) * VLOOKUP(B392, 'Price Data'!A:D, 4, FALSE) * C392, "")</f>
        <v/>
      </c>
    </row>
    <row r="393">
      <c r="A393" s="1" t="n">
        <v>45748</v>
      </c>
      <c r="B393" t="inlineStr">
        <is>
          <t>ING-129</t>
        </is>
      </c>
      <c r="C393" t="n">
        <v>1</v>
      </c>
      <c r="D393" t="inlineStr">
        <is>
          <t>Hot Hold</t>
        </is>
      </c>
      <c r="E393" t="inlineStr">
        <is>
          <t>Maybe</t>
        </is>
      </c>
      <c r="F393" t="inlineStr">
        <is>
          <t>Temp. logs req.</t>
        </is>
      </c>
      <c r="G393" s="13">
        <f>IFERROR(VLOOKUP(B393, 'Price Data'!A:D, 3, FALSE) * VLOOKUP(B393, 'Price Data'!A:D, 4, FALSE) * C393, "")</f>
        <v/>
      </c>
    </row>
    <row r="394">
      <c r="A394" s="1" t="n">
        <v>45748</v>
      </c>
      <c r="B394" t="inlineStr">
        <is>
          <t>ING-095</t>
        </is>
      </c>
      <c r="C394" t="n">
        <v>0.5</v>
      </c>
      <c r="D394" t="inlineStr">
        <is>
          <t>Expiring</t>
        </is>
      </c>
      <c r="E394" t="inlineStr">
        <is>
          <t>Strong Maybe</t>
        </is>
      </c>
      <c r="F394" t="inlineStr">
        <is>
          <t>Freeze (req) | Seafood</t>
        </is>
      </c>
      <c r="G394" s="13">
        <f>IFERROR(VLOOKUP(B394, 'Price Data'!A:D, 3, FALSE) * VLOOKUP(B394, 'Price Data'!A:D, 4, FALSE) * C394, "")</f>
        <v/>
      </c>
    </row>
    <row r="395">
      <c r="A395" s="1" t="n">
        <v>45748</v>
      </c>
      <c r="B395" t="inlineStr">
        <is>
          <t>ING-066</t>
        </is>
      </c>
      <c r="C395" t="n">
        <v>0.5</v>
      </c>
      <c r="D395" t="inlineStr">
        <is>
          <t>Expiring</t>
        </is>
      </c>
      <c r="E395" t="inlineStr">
        <is>
          <t>No</t>
        </is>
      </c>
      <c r="F395" t="inlineStr">
        <is>
          <t>No tamper-proof seal</t>
        </is>
      </c>
      <c r="G395" s="13">
        <f>IFERROR(VLOOKUP(B395, 'Price Data'!A:D, 3, FALSE) * VLOOKUP(B395, 'Price Data'!A:D, 4, FALSE) * C395, "")</f>
        <v/>
      </c>
    </row>
    <row r="396">
      <c r="A396" s="1" t="n">
        <v>45748</v>
      </c>
      <c r="B396" t="inlineStr">
        <is>
          <t>ING-097</t>
        </is>
      </c>
      <c r="C396" t="n">
        <v>5</v>
      </c>
      <c r="D396" t="inlineStr">
        <is>
          <t>Hot Hold</t>
        </is>
      </c>
      <c r="E396" t="inlineStr">
        <is>
          <t>Weak Maybe</t>
        </is>
      </c>
      <c r="F396" t="inlineStr">
        <is>
          <t>Temp. logs req. | Minimal Utility</t>
        </is>
      </c>
      <c r="G396" s="13">
        <f>IFERROR(VLOOKUP(B396, 'Price Data'!A:D, 3, FALSE) * VLOOKUP(B396, 'Price Data'!A:D, 4, FALSE) * C396, "")</f>
        <v/>
      </c>
    </row>
    <row r="397">
      <c r="A397" s="1" t="n">
        <v>45748</v>
      </c>
      <c r="B397" t="inlineStr">
        <is>
          <t>ING-154</t>
        </is>
      </c>
      <c r="C397" t="n">
        <v>5.5</v>
      </c>
      <c r="D397" t="inlineStr">
        <is>
          <t>Expiring</t>
        </is>
      </c>
      <c r="E397" t="inlineStr">
        <is>
          <t>Maybe</t>
        </is>
      </c>
      <c r="G397" s="13">
        <f>IFERROR(VLOOKUP(B397, 'Price Data'!A:D, 3, FALSE) * VLOOKUP(B397, 'Price Data'!A:D, 4, FALSE) * C397, "")</f>
        <v/>
      </c>
    </row>
    <row r="398">
      <c r="A398" s="1" t="n">
        <v>45748</v>
      </c>
      <c r="B398" t="inlineStr">
        <is>
          <t>ING-087</t>
        </is>
      </c>
      <c r="C398" t="n">
        <v>1.5</v>
      </c>
      <c r="D398" t="inlineStr">
        <is>
          <t>Expiring</t>
        </is>
      </c>
      <c r="E398" t="inlineStr">
        <is>
          <t>Weak Maybe</t>
        </is>
      </c>
      <c r="F398" t="inlineStr">
        <is>
          <t>No tamper-proof seal</t>
        </is>
      </c>
      <c r="G398" s="13">
        <f>IFERROR(VLOOKUP(B398, 'Price Data'!A:D, 3, FALSE) * VLOOKUP(B398, 'Price Data'!A:D, 4, FALSE) * C398, "")</f>
        <v/>
      </c>
    </row>
    <row r="399">
      <c r="A399" s="1" t="n">
        <v>45748</v>
      </c>
      <c r="B399" t="inlineStr">
        <is>
          <t>ING-028</t>
        </is>
      </c>
      <c r="C399" t="n">
        <v>1.5</v>
      </c>
      <c r="D399" t="inlineStr">
        <is>
          <t>Hot Hold</t>
        </is>
      </c>
      <c r="E399" t="inlineStr">
        <is>
          <t>No</t>
        </is>
      </c>
      <c r="F399" s="2" t="inlineStr">
        <is>
          <t>No Date</t>
        </is>
      </c>
      <c r="G399" s="13">
        <f>IFERROR(VLOOKUP(B399, 'Price Data'!A:D, 3, FALSE) * VLOOKUP(B399, 'Price Data'!A:D, 4, FALSE) * C399, "")</f>
        <v/>
      </c>
    </row>
    <row r="400">
      <c r="A400" s="1" t="n">
        <v>45748</v>
      </c>
      <c r="B400" t="inlineStr">
        <is>
          <t>ING-058</t>
        </is>
      </c>
      <c r="C400" t="n">
        <v>1.5</v>
      </c>
      <c r="D400" t="inlineStr">
        <is>
          <t>DISCARDED</t>
        </is>
      </c>
      <c r="E400" t="inlineStr">
        <is>
          <t>No</t>
        </is>
      </c>
      <c r="F400" t="inlineStr">
        <is>
          <t>N/A</t>
        </is>
      </c>
      <c r="G400" s="13">
        <f>IFERROR(VLOOKUP(B400, 'Price Data'!A:D, 3, FALSE) * VLOOKUP(B400, 'Price Data'!A:D, 4, FALSE) * C400, "")</f>
        <v/>
      </c>
    </row>
    <row r="401">
      <c r="A401" s="1" t="n">
        <v>45748</v>
      </c>
      <c r="B401" t="inlineStr">
        <is>
          <t>ING-049</t>
        </is>
      </c>
      <c r="C401" t="n">
        <v>0.5</v>
      </c>
      <c r="D401" t="inlineStr">
        <is>
          <t>Hot Hold</t>
        </is>
      </c>
      <c r="E401" t="inlineStr">
        <is>
          <t>No</t>
        </is>
      </c>
      <c r="F401" t="inlineStr">
        <is>
          <t>Minimal Utility</t>
        </is>
      </c>
      <c r="G401" s="13">
        <f>IFERROR(VLOOKUP(B401, 'Price Data'!A:D, 3, FALSE) * VLOOKUP(B401, 'Price Data'!A:D, 4, FALSE) * C401, "")</f>
        <v/>
      </c>
    </row>
    <row r="402">
      <c r="A402" s="1" t="n">
        <v>45748</v>
      </c>
      <c r="B402" t="inlineStr">
        <is>
          <t>ING-068</t>
        </is>
      </c>
      <c r="C402" t="n">
        <v>2</v>
      </c>
      <c r="D402" t="inlineStr">
        <is>
          <t>Hot Hold</t>
        </is>
      </c>
      <c r="E402" t="inlineStr">
        <is>
          <t>Maybe</t>
        </is>
      </c>
      <c r="F402" t="inlineStr">
        <is>
          <t>Temp. logs req.</t>
        </is>
      </c>
      <c r="G402" s="13">
        <f>IFERROR(VLOOKUP(B402, 'Price Data'!A:D, 3, FALSE) * VLOOKUP(B402, 'Price Data'!A:D, 4, FALSE) * C402, "")</f>
        <v/>
      </c>
    </row>
    <row r="403">
      <c r="A403" s="1" t="n">
        <v>45748</v>
      </c>
      <c r="B403" t="inlineStr">
        <is>
          <t>ING-163</t>
        </is>
      </c>
      <c r="C403" t="n">
        <v>1.5</v>
      </c>
      <c r="D403" t="inlineStr">
        <is>
          <t>Hot Hold</t>
        </is>
      </c>
      <c r="E403" t="inlineStr">
        <is>
          <t>Weak Maybe</t>
        </is>
      </c>
      <c r="F403" t="inlineStr">
        <is>
          <t>Temp. logs req.</t>
        </is>
      </c>
      <c r="G403" s="13">
        <f>IFERROR(VLOOKUP(B403, 'Price Data'!A:D, 3, FALSE) * VLOOKUP(B403, 'Price Data'!A:D, 4, FALSE) * C403, "")</f>
        <v/>
      </c>
    </row>
    <row r="404">
      <c r="A404" s="1" t="n">
        <v>45748</v>
      </c>
      <c r="B404" t="inlineStr">
        <is>
          <t>ING-107</t>
        </is>
      </c>
      <c r="C404" t="n">
        <v>3.5</v>
      </c>
      <c r="D404" t="inlineStr">
        <is>
          <t>Expiring</t>
        </is>
      </c>
      <c r="E404" t="inlineStr">
        <is>
          <t>Yes</t>
        </is>
      </c>
      <c r="F404" t="inlineStr">
        <is>
          <t>Freeze (req)</t>
        </is>
      </c>
      <c r="G404" s="13">
        <f>IFERROR(VLOOKUP(B404, 'Price Data'!A:D, 3, FALSE) * VLOOKUP(B404, 'Price Data'!A:D, 4, FALSE) * C404, "")</f>
        <v/>
      </c>
    </row>
    <row r="405">
      <c r="A405" s="1" t="n">
        <v>45748</v>
      </c>
      <c r="B405" t="inlineStr">
        <is>
          <t>ING-160</t>
        </is>
      </c>
      <c r="C405" t="n">
        <v>0.5</v>
      </c>
      <c r="D405" t="inlineStr">
        <is>
          <t>Expiring</t>
        </is>
      </c>
      <c r="E405" t="inlineStr">
        <is>
          <t>No</t>
        </is>
      </c>
      <c r="F405" s="2" t="inlineStr">
        <is>
          <t>No tamper-proof seal</t>
        </is>
      </c>
      <c r="G405" s="13">
        <f>IFERROR(VLOOKUP(B405, 'Price Data'!A:D, 3, FALSE) * VLOOKUP(B405, 'Price Data'!A:D, 4, FALSE) * C405, "")</f>
        <v/>
      </c>
    </row>
    <row r="406">
      <c r="A406" s="1" t="n">
        <v>45748</v>
      </c>
      <c r="B406" t="inlineStr">
        <is>
          <t>ING-107</t>
        </is>
      </c>
      <c r="C406" t="n">
        <v>1.5</v>
      </c>
      <c r="D406" t="inlineStr">
        <is>
          <t>Expiring</t>
        </is>
      </c>
      <c r="E406" t="inlineStr">
        <is>
          <t>Yes</t>
        </is>
      </c>
      <c r="F406" s="2" t="inlineStr">
        <is>
          <t>Freeze (req)</t>
        </is>
      </c>
      <c r="G406" s="13">
        <f>IFERROR(VLOOKUP(B406, 'Price Data'!A:D, 3, FALSE) * VLOOKUP(B406, 'Price Data'!A:D, 4, FALSE) * C406, "")</f>
        <v/>
      </c>
    </row>
    <row r="407">
      <c r="A407" s="1" t="n">
        <v>45748</v>
      </c>
      <c r="B407" t="inlineStr">
        <is>
          <t>ING-139</t>
        </is>
      </c>
      <c r="C407" t="n">
        <v>11</v>
      </c>
      <c r="D407" t="inlineStr">
        <is>
          <t>Expiring</t>
        </is>
      </c>
      <c r="E407" t="inlineStr">
        <is>
          <t>Weak Maybe</t>
        </is>
      </c>
      <c r="F407" t="inlineStr">
        <is>
          <t>As is | Minimal Utility</t>
        </is>
      </c>
      <c r="G407" s="13">
        <f>IFERROR(VLOOKUP(B407, 'Price Data'!A:D, 3, FALSE) * VLOOKUP(B407, 'Price Data'!A:D, 4, FALSE) * C407, "")</f>
        <v/>
      </c>
    </row>
    <row r="408">
      <c r="A408" s="3" t="n">
        <v>45748</v>
      </c>
      <c r="B408" t="inlineStr">
        <is>
          <t>ING-150</t>
        </is>
      </c>
      <c r="C408" t="n">
        <v>26.5</v>
      </c>
      <c r="D408" t="inlineStr">
        <is>
          <t>Expiring</t>
        </is>
      </c>
      <c r="E408" t="inlineStr">
        <is>
          <t>Yes</t>
        </is>
      </c>
      <c r="F408" t="inlineStr">
        <is>
          <t>Freeze (req)</t>
        </is>
      </c>
      <c r="G408" s="13">
        <f>IFERROR(VLOOKUP(B408, 'Price Data'!A:D, 3, FALSE) * VLOOKUP(B408, 'Price Data'!A:D, 4, FALSE) * C408, "")</f>
        <v/>
      </c>
    </row>
    <row r="409">
      <c r="A409" s="3" t="n">
        <v>45748</v>
      </c>
      <c r="B409" t="inlineStr">
        <is>
          <t>ING-021</t>
        </is>
      </c>
      <c r="C409" t="n">
        <v>2</v>
      </c>
      <c r="D409" t="inlineStr">
        <is>
          <t>Hot Hold</t>
        </is>
      </c>
      <c r="E409" t="inlineStr">
        <is>
          <t>Maybe</t>
        </is>
      </c>
      <c r="F409" t="inlineStr">
        <is>
          <t>Temp. logs req.</t>
        </is>
      </c>
      <c r="G409" s="13">
        <f>IFERROR(VLOOKUP(B409, 'Price Data'!A:D, 3, FALSE) * VLOOKUP(B409, 'Price Data'!A:D, 4, FALSE) * C409, "")</f>
        <v/>
      </c>
    </row>
    <row r="410">
      <c r="A410" s="3" t="n">
        <v>45748</v>
      </c>
      <c r="B410" t="inlineStr">
        <is>
          <t>ING-023</t>
        </is>
      </c>
      <c r="C410" t="n">
        <v>5.5</v>
      </c>
      <c r="D410" t="inlineStr">
        <is>
          <t>Expiring</t>
        </is>
      </c>
      <c r="E410" t="inlineStr">
        <is>
          <t>Weak Maybe</t>
        </is>
      </c>
      <c r="F410" t="inlineStr">
        <is>
          <t>Freeze (rec) | Minimal Use</t>
        </is>
      </c>
      <c r="G410" s="13">
        <f>IFERROR(VLOOKUP(B410, 'Price Data'!A:D, 3, FALSE) * VLOOKUP(B410, 'Price Data'!A:D, 4, FALSE) * C410, "")</f>
        <v/>
      </c>
    </row>
    <row r="411">
      <c r="A411" s="3" t="n">
        <v>45748</v>
      </c>
      <c r="B411" t="inlineStr">
        <is>
          <t>ING-129</t>
        </is>
      </c>
      <c r="C411" t="n">
        <v>0.5</v>
      </c>
      <c r="D411" t="inlineStr">
        <is>
          <t>Hot Hold</t>
        </is>
      </c>
      <c r="E411" t="inlineStr">
        <is>
          <t>Maybe</t>
        </is>
      </c>
      <c r="F411" t="inlineStr">
        <is>
          <t>Temp. logs req.</t>
        </is>
      </c>
      <c r="G411" s="13">
        <f>IFERROR(VLOOKUP(B411, 'Price Data'!A:D, 3, FALSE) * VLOOKUP(B411, 'Price Data'!A:D, 4, FALSE) * C411, "")</f>
        <v/>
      </c>
    </row>
    <row r="412">
      <c r="A412" s="3" t="n">
        <v>45748</v>
      </c>
      <c r="B412" t="inlineStr">
        <is>
          <t>ING-097</t>
        </is>
      </c>
      <c r="C412" t="n">
        <v>3.5</v>
      </c>
      <c r="D412" t="inlineStr">
        <is>
          <t>Hot Hold</t>
        </is>
      </c>
      <c r="E412" t="inlineStr">
        <is>
          <t>Weak Maybe</t>
        </is>
      </c>
      <c r="F412" t="inlineStr">
        <is>
          <t>Temp. logs req. | Minimal Utility</t>
        </is>
      </c>
      <c r="G412" s="13">
        <f>IFERROR(VLOOKUP(B412, 'Price Data'!A:D, 3, FALSE) * VLOOKUP(B412, 'Price Data'!A:D, 4, FALSE) * C412, "")</f>
        <v/>
      </c>
    </row>
    <row r="413">
      <c r="A413" s="3" t="n">
        <v>45748</v>
      </c>
      <c r="B413" t="inlineStr">
        <is>
          <t>ING-007</t>
        </is>
      </c>
      <c r="C413" t="n">
        <v>0.5</v>
      </c>
      <c r="D413" t="inlineStr">
        <is>
          <t>Removed From Menu</t>
        </is>
      </c>
      <c r="E413" t="inlineStr">
        <is>
          <t>Maybe</t>
        </is>
      </c>
      <c r="F413" t="inlineStr">
        <is>
          <t>No tamper-proof seal</t>
        </is>
      </c>
      <c r="G413" s="13">
        <f>IFERROR(VLOOKUP(B413, 'Price Data'!A:D, 3, FALSE) * VLOOKUP(B413, 'Price Data'!A:D, 4, FALSE) * C413, "")</f>
        <v/>
      </c>
    </row>
    <row r="414">
      <c r="A414" s="3" t="n">
        <v>45749</v>
      </c>
      <c r="B414" t="inlineStr">
        <is>
          <t>ING-128</t>
        </is>
      </c>
      <c r="C414" t="n">
        <v>2.5</v>
      </c>
      <c r="D414" t="inlineStr">
        <is>
          <t>Hot Hold</t>
        </is>
      </c>
      <c r="E414" t="inlineStr">
        <is>
          <t>No</t>
        </is>
      </c>
      <c r="F414" t="inlineStr">
        <is>
          <t>Cut produce | Temp. logs req</t>
        </is>
      </c>
      <c r="G414" s="13">
        <f>IFERROR(VLOOKUP(B414, 'Price Data'!A:D, 3, FALSE) * VLOOKUP(B414, 'Price Data'!A:D, 4, FALSE) * C414, "")</f>
        <v/>
      </c>
    </row>
    <row r="415">
      <c r="A415" s="3" t="n">
        <v>45749</v>
      </c>
      <c r="B415" t="inlineStr">
        <is>
          <t>ING-082</t>
        </is>
      </c>
      <c r="C415" t="n">
        <v>1</v>
      </c>
      <c r="D415" t="inlineStr">
        <is>
          <t>Expiring</t>
        </is>
      </c>
      <c r="E415" t="inlineStr">
        <is>
          <t>No</t>
        </is>
      </c>
      <c r="F415" t="inlineStr">
        <is>
          <t>Cut produce</t>
        </is>
      </c>
      <c r="G415" s="13">
        <f>IFERROR(VLOOKUP(B415, 'Price Data'!A:D, 3, FALSE) * VLOOKUP(B415, 'Price Data'!A:D, 4, FALSE) * C415, "")</f>
        <v/>
      </c>
    </row>
    <row r="416">
      <c r="A416" s="3" t="n">
        <v>45749</v>
      </c>
      <c r="B416" t="inlineStr">
        <is>
          <t>ING-157</t>
        </is>
      </c>
      <c r="C416" t="n">
        <v>5</v>
      </c>
      <c r="D416" t="inlineStr">
        <is>
          <t>Hot Hold</t>
        </is>
      </c>
      <c r="E416" t="inlineStr">
        <is>
          <t>Maybe</t>
        </is>
      </c>
      <c r="F416" t="inlineStr">
        <is>
          <t>Temp. logs req.</t>
        </is>
      </c>
      <c r="G416" s="13">
        <f>IFERROR(VLOOKUP(B416, 'Price Data'!A:D, 3, FALSE) * VLOOKUP(B416, 'Price Data'!A:D, 4, FALSE) * C416, "")</f>
        <v/>
      </c>
    </row>
    <row r="417">
      <c r="A417" s="3" t="n">
        <v>45749</v>
      </c>
      <c r="B417" t="inlineStr">
        <is>
          <t>ING-042</t>
        </is>
      </c>
      <c r="C417" t="n">
        <v>0.5</v>
      </c>
      <c r="D417" t="inlineStr">
        <is>
          <t>Expiring</t>
        </is>
      </c>
      <c r="E417" t="inlineStr">
        <is>
          <t>no</t>
        </is>
      </c>
      <c r="F417" t="inlineStr">
        <is>
          <t>Minimal Utility</t>
        </is>
      </c>
      <c r="G417" s="13">
        <f>IFERROR(VLOOKUP(B417, 'Price Data'!A:D, 3, FALSE) * VLOOKUP(B417, 'Price Data'!A:D, 4, FALSE) * C417, "")</f>
        <v/>
      </c>
    </row>
    <row r="418">
      <c r="A418" s="3" t="n">
        <v>45749</v>
      </c>
      <c r="B418" t="inlineStr">
        <is>
          <t>ING-035</t>
        </is>
      </c>
      <c r="C418" t="n">
        <v>14</v>
      </c>
      <c r="D418" t="inlineStr">
        <is>
          <t>Expiring</t>
        </is>
      </c>
      <c r="E418" t="inlineStr">
        <is>
          <t>Yes</t>
        </is>
      </c>
      <c r="F418" t="inlineStr">
        <is>
          <t>As is</t>
        </is>
      </c>
      <c r="G418" s="13">
        <f>IFERROR(VLOOKUP(B418, 'Price Data'!A:D, 3, FALSE) * VLOOKUP(B418, 'Price Data'!A:D, 4, FALSE) * C418, "")</f>
        <v/>
      </c>
    </row>
    <row r="419">
      <c r="A419" s="3" t="n">
        <v>45749</v>
      </c>
      <c r="B419" t="inlineStr">
        <is>
          <t>ING-110</t>
        </is>
      </c>
      <c r="C419" t="n">
        <v>2</v>
      </c>
      <c r="D419" t="inlineStr">
        <is>
          <t>Expiring</t>
        </is>
      </c>
      <c r="E419" t="inlineStr">
        <is>
          <t>Yes</t>
        </is>
      </c>
      <c r="F419" t="inlineStr">
        <is>
          <t>Freeze (req)</t>
        </is>
      </c>
      <c r="G419" s="13">
        <f>IFERROR(VLOOKUP(B419, 'Price Data'!A:D, 3, FALSE) * VLOOKUP(B419, 'Price Data'!A:D, 4, FALSE) * C419, "")</f>
        <v/>
      </c>
    </row>
    <row r="420">
      <c r="A420" s="3" t="n">
        <v>45749</v>
      </c>
      <c r="B420" t="inlineStr">
        <is>
          <t>ING-120</t>
        </is>
      </c>
      <c r="C420" t="n">
        <v>2</v>
      </c>
      <c r="D420" t="inlineStr">
        <is>
          <t>Expiring</t>
        </is>
      </c>
      <c r="E420" t="inlineStr">
        <is>
          <t>Yes</t>
        </is>
      </c>
      <c r="F420" t="inlineStr">
        <is>
          <t>Freeze (req)</t>
        </is>
      </c>
      <c r="G420" s="13">
        <f>IFERROR(VLOOKUP(B420, 'Price Data'!A:D, 3, FALSE) * VLOOKUP(B420, 'Price Data'!A:D, 4, FALSE) * C420, "")</f>
        <v/>
      </c>
    </row>
    <row r="421">
      <c r="A421" s="3" t="n">
        <v>45749</v>
      </c>
      <c r="B421" t="inlineStr">
        <is>
          <t>ING-048</t>
        </is>
      </c>
      <c r="C421" t="n">
        <v>1.5</v>
      </c>
      <c r="D421" t="inlineStr">
        <is>
          <t>Expiring</t>
        </is>
      </c>
      <c r="E421" t="inlineStr">
        <is>
          <t>Yes</t>
        </is>
      </c>
      <c r="F421" t="inlineStr">
        <is>
          <t>Freeze (req)</t>
        </is>
      </c>
      <c r="G421" s="13">
        <f>IFERROR(VLOOKUP(B421, 'Price Data'!A:D, 3, FALSE) * VLOOKUP(B421, 'Price Data'!A:D, 4, FALSE) * C421, "")</f>
        <v/>
      </c>
    </row>
    <row r="422">
      <c r="A422" s="3" t="n">
        <v>45749</v>
      </c>
      <c r="B422" t="inlineStr">
        <is>
          <t>ING-056</t>
        </is>
      </c>
      <c r="C422" t="n">
        <v>2.5</v>
      </c>
      <c r="D422" t="inlineStr">
        <is>
          <t>Hot Hold</t>
        </is>
      </c>
      <c r="E422" t="inlineStr">
        <is>
          <t>No</t>
        </is>
      </c>
      <c r="F422" t="inlineStr">
        <is>
          <t>Temp. logs req. | Cooked produce | Minimal Utility</t>
        </is>
      </c>
      <c r="G422" s="13">
        <f>IFERROR(VLOOKUP(B422, 'Price Data'!A:D, 3, FALSE) * VLOOKUP(B422, 'Price Data'!A:D, 4, FALSE) * C422, "")</f>
        <v/>
      </c>
    </row>
    <row r="423">
      <c r="A423" s="3" t="n">
        <v>45749</v>
      </c>
      <c r="B423" t="inlineStr">
        <is>
          <t>ING-002</t>
        </is>
      </c>
      <c r="C423" t="n">
        <v>1</v>
      </c>
      <c r="D423" t="inlineStr">
        <is>
          <t>Expiring</t>
        </is>
      </c>
      <c r="E423" t="inlineStr">
        <is>
          <t>Yes</t>
        </is>
      </c>
      <c r="F423" t="inlineStr">
        <is>
          <t>Freeze (req)</t>
        </is>
      </c>
      <c r="G423" s="13">
        <f>IFERROR(VLOOKUP(B423, 'Price Data'!A:D, 3, FALSE) * VLOOKUP(B423, 'Price Data'!A:D, 4, FALSE) * C423, "")</f>
        <v/>
      </c>
    </row>
    <row r="424">
      <c r="A424" s="3" t="n">
        <v>45749</v>
      </c>
      <c r="B424" t="inlineStr">
        <is>
          <t>ING-176</t>
        </is>
      </c>
      <c r="C424" t="n">
        <v>2</v>
      </c>
      <c r="D424" t="inlineStr">
        <is>
          <t>Expiring</t>
        </is>
      </c>
      <c r="E424" t="inlineStr">
        <is>
          <t>Maybe</t>
        </is>
      </c>
      <c r="F424" t="inlineStr">
        <is>
          <t>As is | Minimal Utility</t>
        </is>
      </c>
      <c r="G424" s="13">
        <f>IFERROR(VLOOKUP(B424, 'Price Data'!A:D, 3, FALSE) * VLOOKUP(B424, 'Price Data'!A:D, 4, FALSE) * C424, "")</f>
        <v/>
      </c>
    </row>
    <row r="425">
      <c r="A425" s="3" t="n">
        <v>45749</v>
      </c>
      <c r="B425" t="inlineStr">
        <is>
          <t>ING-172</t>
        </is>
      </c>
      <c r="C425" t="n">
        <v>0.5</v>
      </c>
      <c r="D425" t="inlineStr">
        <is>
          <t>Expiring</t>
        </is>
      </c>
      <c r="E425" t="inlineStr">
        <is>
          <t>Yes</t>
        </is>
      </c>
      <c r="F425" t="inlineStr">
        <is>
          <t>Freeze (rec)</t>
        </is>
      </c>
      <c r="G425" s="13">
        <f>IFERROR(VLOOKUP(B425, 'Price Data'!A:D, 3, FALSE) * VLOOKUP(B425, 'Price Data'!A:D, 4, FALSE) * C425, "")</f>
        <v/>
      </c>
    </row>
    <row r="426">
      <c r="A426" s="3" t="n">
        <v>45749</v>
      </c>
      <c r="B426" t="inlineStr">
        <is>
          <t>ING-076</t>
        </is>
      </c>
      <c r="C426" t="n">
        <v>1</v>
      </c>
      <c r="D426" t="inlineStr">
        <is>
          <t>Hot Hold</t>
        </is>
      </c>
      <c r="E426" t="inlineStr">
        <is>
          <t>Weak Maybe</t>
        </is>
      </c>
      <c r="F426" t="inlineStr">
        <is>
          <t>Temp. logs req.</t>
        </is>
      </c>
      <c r="G426" s="13">
        <f>IFERROR(VLOOKUP(B426, 'Price Data'!A:D, 3, FALSE) * VLOOKUP(B426, 'Price Data'!A:D, 4, FALSE) * C426, "")</f>
        <v/>
      </c>
    </row>
    <row r="427">
      <c r="A427" s="3" t="n">
        <v>45749</v>
      </c>
      <c r="B427" t="inlineStr">
        <is>
          <t>ING-148</t>
        </is>
      </c>
      <c r="C427" t="n">
        <v>1</v>
      </c>
      <c r="D427" t="inlineStr">
        <is>
          <t>Hot Hold</t>
        </is>
      </c>
      <c r="E427" t="inlineStr">
        <is>
          <t>Maybe</t>
        </is>
      </c>
      <c r="F427" s="2" t="inlineStr">
        <is>
          <t>Temp. logs req.</t>
        </is>
      </c>
      <c r="G427" s="13">
        <f>IFERROR(VLOOKUP(B427, 'Price Data'!A:D, 3, FALSE) * VLOOKUP(B427, 'Price Data'!A:D, 4, FALSE) * C427, "")</f>
        <v/>
      </c>
    </row>
    <row r="428">
      <c r="A428" s="3" t="n">
        <v>45749</v>
      </c>
      <c r="B428" t="inlineStr">
        <is>
          <t>ING-145</t>
        </is>
      </c>
      <c r="C428" t="n">
        <v>0.5</v>
      </c>
      <c r="D428" t="inlineStr">
        <is>
          <t>Hot Hold</t>
        </is>
      </c>
      <c r="E428" t="inlineStr">
        <is>
          <t>Maybe</t>
        </is>
      </c>
      <c r="F428" t="inlineStr">
        <is>
          <t>Freeze (req)</t>
        </is>
      </c>
      <c r="G428" s="13">
        <f>IFERROR(VLOOKUP(B428, 'Price Data'!A:D, 3, FALSE) * VLOOKUP(B428, 'Price Data'!A:D, 4, FALSE) * C428, "")</f>
        <v/>
      </c>
    </row>
    <row r="429">
      <c r="A429" s="3" t="n">
        <v>45749</v>
      </c>
      <c r="B429" t="inlineStr">
        <is>
          <t>ING-091</t>
        </is>
      </c>
      <c r="C429" t="n">
        <v>4</v>
      </c>
      <c r="D429" t="inlineStr">
        <is>
          <t>Expiring</t>
        </is>
      </c>
      <c r="E429" t="inlineStr">
        <is>
          <t>Yes</t>
        </is>
      </c>
      <c r="F429" t="inlineStr">
        <is>
          <t>Freeze (req)</t>
        </is>
      </c>
      <c r="G429" s="13">
        <f>IFERROR(VLOOKUP(B429, 'Price Data'!A:D, 3, FALSE) * VLOOKUP(B429, 'Price Data'!A:D, 4, FALSE) * C429, "")</f>
        <v/>
      </c>
    </row>
    <row r="430">
      <c r="A430" s="3" t="n">
        <v>45749</v>
      </c>
      <c r="B430" t="inlineStr">
        <is>
          <t>ING-140</t>
        </is>
      </c>
      <c r="C430" t="n">
        <v>1</v>
      </c>
      <c r="D430" t="inlineStr">
        <is>
          <t>Expiring</t>
        </is>
      </c>
      <c r="E430" t="inlineStr">
        <is>
          <t>No</t>
        </is>
      </c>
      <c r="F430" t="inlineStr">
        <is>
          <t>Minimal Utility</t>
        </is>
      </c>
      <c r="G430" s="13">
        <f>IFERROR(VLOOKUP(B430, 'Price Data'!A:D, 3, FALSE) * VLOOKUP(B430, 'Price Data'!A:D, 4, FALSE) * C430, "")</f>
        <v/>
      </c>
    </row>
    <row r="431">
      <c r="A431" s="3" t="n">
        <v>45749</v>
      </c>
      <c r="B431" t="inlineStr">
        <is>
          <t>ING-157</t>
        </is>
      </c>
      <c r="C431" t="n">
        <v>4.5</v>
      </c>
      <c r="D431" t="inlineStr">
        <is>
          <t>Hot Hold</t>
        </is>
      </c>
      <c r="E431" t="inlineStr">
        <is>
          <t>Maybe</t>
        </is>
      </c>
      <c r="F431" t="inlineStr">
        <is>
          <t>Temp. logs req.</t>
        </is>
      </c>
      <c r="G431" s="13">
        <f>IFERROR(VLOOKUP(B431, 'Price Data'!A:D, 3, FALSE) * VLOOKUP(B431, 'Price Data'!A:D, 4, FALSE) * C431, "")</f>
        <v/>
      </c>
    </row>
    <row r="432">
      <c r="A432" s="3" t="n">
        <v>45749</v>
      </c>
      <c r="B432" t="inlineStr">
        <is>
          <t>ING-056</t>
        </is>
      </c>
      <c r="C432" t="n">
        <v>1</v>
      </c>
      <c r="D432" t="inlineStr">
        <is>
          <t>Hot Hold</t>
        </is>
      </c>
      <c r="E432" t="inlineStr">
        <is>
          <t>No</t>
        </is>
      </c>
      <c r="F432" t="inlineStr">
        <is>
          <t>Temp. logs req. | Cooked produce | Minimal Utility</t>
        </is>
      </c>
      <c r="G432" s="13">
        <f>IFERROR(VLOOKUP(B432, 'Price Data'!A:D, 3, FALSE) * VLOOKUP(B432, 'Price Data'!A:D, 4, FALSE) * C432, "")</f>
        <v/>
      </c>
    </row>
    <row r="433">
      <c r="A433" s="3" t="n">
        <v>45749</v>
      </c>
      <c r="B433" t="inlineStr">
        <is>
          <t>ING-039</t>
        </is>
      </c>
      <c r="C433" t="n">
        <v>1</v>
      </c>
      <c r="D433" t="inlineStr">
        <is>
          <t>Expiring</t>
        </is>
      </c>
      <c r="E433" t="inlineStr">
        <is>
          <t>Yes</t>
        </is>
      </c>
      <c r="F433" t="inlineStr">
        <is>
          <t>Freeze (req)</t>
        </is>
      </c>
      <c r="G433" s="13">
        <f>IFERROR(VLOOKUP(B433, 'Price Data'!A:D, 3, FALSE) * VLOOKUP(B433, 'Price Data'!A:D, 4, FALSE) * C433, "")</f>
        <v/>
      </c>
    </row>
    <row r="434">
      <c r="A434" s="3" t="n">
        <v>45749</v>
      </c>
      <c r="B434" t="inlineStr">
        <is>
          <t>ING-163</t>
        </is>
      </c>
      <c r="C434" t="n">
        <v>2</v>
      </c>
      <c r="D434" t="inlineStr">
        <is>
          <t>Hot Hold</t>
        </is>
      </c>
      <c r="E434" t="inlineStr">
        <is>
          <t>Weak Maybe</t>
        </is>
      </c>
      <c r="F434" t="inlineStr">
        <is>
          <t>Temp. logs req.</t>
        </is>
      </c>
      <c r="G434" s="13">
        <f>IFERROR(VLOOKUP(B434, 'Price Data'!A:D, 3, FALSE) * VLOOKUP(B434, 'Price Data'!A:D, 4, FALSE) * C434, "")</f>
        <v/>
      </c>
    </row>
    <row r="435">
      <c r="A435" s="3" t="n">
        <v>45749</v>
      </c>
      <c r="B435" t="inlineStr">
        <is>
          <t>ING-140</t>
        </is>
      </c>
      <c r="C435" t="n">
        <v>1</v>
      </c>
      <c r="D435" t="inlineStr">
        <is>
          <t>Expiring</t>
        </is>
      </c>
      <c r="E435" t="inlineStr">
        <is>
          <t>No</t>
        </is>
      </c>
      <c r="F435" t="inlineStr">
        <is>
          <t>Minimal Utility</t>
        </is>
      </c>
      <c r="G435" s="13">
        <f>IFERROR(VLOOKUP(B435, 'Price Data'!A:D, 3, FALSE) * VLOOKUP(B435, 'Price Data'!A:D, 4, FALSE) * C435, "")</f>
        <v/>
      </c>
    </row>
    <row r="436">
      <c r="A436" s="3" t="n">
        <v>45749</v>
      </c>
      <c r="B436" t="inlineStr">
        <is>
          <t>ING-150</t>
        </is>
      </c>
      <c r="C436" t="n">
        <v>28.5</v>
      </c>
      <c r="D436" t="inlineStr">
        <is>
          <t>Expiring</t>
        </is>
      </c>
      <c r="E436" t="inlineStr">
        <is>
          <t>Yes</t>
        </is>
      </c>
      <c r="F436" t="inlineStr">
        <is>
          <t>Freeze (req)</t>
        </is>
      </c>
      <c r="G436" s="13">
        <f>IFERROR(VLOOKUP(B436, 'Price Data'!A:D, 3, FALSE) * VLOOKUP(B436, 'Price Data'!A:D, 4, FALSE) * C436, "")</f>
        <v/>
      </c>
    </row>
    <row r="437">
      <c r="A437" s="3" t="n">
        <v>45749</v>
      </c>
      <c r="B437" t="inlineStr">
        <is>
          <t>ING-095</t>
        </is>
      </c>
      <c r="C437" t="n">
        <v>1</v>
      </c>
      <c r="D437" t="inlineStr">
        <is>
          <t>Expiring</t>
        </is>
      </c>
      <c r="E437" t="inlineStr">
        <is>
          <t>Yes</t>
        </is>
      </c>
      <c r="F437" t="inlineStr">
        <is>
          <t>Freeze (req)</t>
        </is>
      </c>
      <c r="G437" s="13">
        <f>IFERROR(VLOOKUP(B437, 'Price Data'!A:D, 3, FALSE) * VLOOKUP(B437, 'Price Data'!A:D, 4, FALSE) * C437, "")</f>
        <v/>
      </c>
    </row>
    <row r="438">
      <c r="A438" s="3" t="n">
        <v>45749</v>
      </c>
      <c r="B438" t="inlineStr">
        <is>
          <t>ING-157</t>
        </is>
      </c>
      <c r="C438" t="n">
        <v>2.5</v>
      </c>
      <c r="D438" t="inlineStr">
        <is>
          <t>Hot Hold</t>
        </is>
      </c>
      <c r="E438" t="inlineStr">
        <is>
          <t>Maybe</t>
        </is>
      </c>
      <c r="F438" s="2" t="inlineStr">
        <is>
          <t>Temp. logs req.</t>
        </is>
      </c>
      <c r="G438" s="13">
        <f>IFERROR(VLOOKUP(B438, 'Price Data'!A:D, 3, FALSE) * VLOOKUP(B438, 'Price Data'!A:D, 4, FALSE) * C438, "")</f>
        <v/>
      </c>
    </row>
    <row r="439">
      <c r="A439" s="3" t="n">
        <v>45749</v>
      </c>
      <c r="B439" t="inlineStr">
        <is>
          <t>ING-056</t>
        </is>
      </c>
      <c r="C439" t="n">
        <v>3</v>
      </c>
      <c r="D439" t="inlineStr">
        <is>
          <t>Hot Hold</t>
        </is>
      </c>
      <c r="E439" t="inlineStr">
        <is>
          <t>No</t>
        </is>
      </c>
      <c r="F439" s="2" t="inlineStr">
        <is>
          <t>Temp. logs req. | Cooked produce | Minimal Utility</t>
        </is>
      </c>
      <c r="G439" s="13">
        <f>IFERROR(VLOOKUP(B439, 'Price Data'!A:D, 3, FALSE) * VLOOKUP(B439, 'Price Data'!A:D, 4, FALSE) * C439, "")</f>
        <v/>
      </c>
    </row>
    <row r="440">
      <c r="A440" s="3" t="n">
        <v>45749</v>
      </c>
      <c r="B440" t="inlineStr">
        <is>
          <t>ING-056</t>
        </is>
      </c>
      <c r="C440" t="n">
        <v>4</v>
      </c>
      <c r="D440" t="inlineStr">
        <is>
          <t>Expiring</t>
        </is>
      </c>
      <c r="E440" t="inlineStr">
        <is>
          <t>No</t>
        </is>
      </c>
      <c r="F440" s="2" t="inlineStr">
        <is>
          <t>Temp. logs req. | Cooked produce | Minimal Utility</t>
        </is>
      </c>
      <c r="G440" s="13">
        <f>IFERROR(VLOOKUP(B440, 'Price Data'!A:D, 3, FALSE) * VLOOKUP(B440, 'Price Data'!A:D, 4, FALSE) * C440, "")</f>
        <v/>
      </c>
    </row>
    <row r="441">
      <c r="A441" s="3" t="n">
        <v>45749</v>
      </c>
      <c r="B441" t="inlineStr">
        <is>
          <t>ING-107</t>
        </is>
      </c>
      <c r="C441" t="n">
        <v>1</v>
      </c>
      <c r="D441" t="inlineStr">
        <is>
          <t>Expiring</t>
        </is>
      </c>
      <c r="E441" t="inlineStr">
        <is>
          <t>Yes</t>
        </is>
      </c>
      <c r="F441" t="inlineStr">
        <is>
          <t>Freeze (req)</t>
        </is>
      </c>
      <c r="G441" s="13">
        <f>IFERROR(VLOOKUP(B441, 'Price Data'!A:D, 3, FALSE) * VLOOKUP(B441, 'Price Data'!A:D, 4, FALSE) * C441, "")</f>
        <v/>
      </c>
    </row>
    <row r="442">
      <c r="A442" s="3" t="n">
        <v>45749</v>
      </c>
      <c r="B442" t="inlineStr">
        <is>
          <t>ING-157</t>
        </is>
      </c>
      <c r="C442" t="n">
        <v>3.5</v>
      </c>
      <c r="D442" t="inlineStr">
        <is>
          <t>Expiring</t>
        </is>
      </c>
      <c r="E442" t="inlineStr">
        <is>
          <t>Yes</t>
        </is>
      </c>
      <c r="F442" s="2" t="inlineStr">
        <is>
          <t>As is</t>
        </is>
      </c>
      <c r="G442" s="13">
        <f>IFERROR(VLOOKUP(B442, 'Price Data'!A:D, 3, FALSE) * VLOOKUP(B442, 'Price Data'!A:D, 4, FALSE) * C442, "")</f>
        <v/>
      </c>
    </row>
    <row r="443">
      <c r="A443" s="3" t="n">
        <v>45749</v>
      </c>
      <c r="B443" s="2" t="inlineStr">
        <is>
          <t>ING-112</t>
        </is>
      </c>
      <c r="C443" t="n">
        <v>0.5</v>
      </c>
      <c r="D443" t="inlineStr">
        <is>
          <t>Expiring</t>
        </is>
      </c>
      <c r="E443" t="inlineStr">
        <is>
          <t>No</t>
        </is>
      </c>
      <c r="F443" t="inlineStr">
        <is>
          <t>Cut produce | No tamper-proof seal</t>
        </is>
      </c>
      <c r="G443" s="13">
        <f>IFERROR(VLOOKUP(B443, 'Price Data'!A:D, 3, FALSE) * VLOOKUP(B443, 'Price Data'!A:D, 4, FALSE) * C443, "")</f>
        <v/>
      </c>
    </row>
    <row r="444">
      <c r="A444" s="3" t="n">
        <v>45749</v>
      </c>
      <c r="B444" t="inlineStr">
        <is>
          <t>ING-082</t>
        </is>
      </c>
      <c r="C444" t="n">
        <v>1</v>
      </c>
      <c r="D444" t="inlineStr">
        <is>
          <t>Expiring</t>
        </is>
      </c>
      <c r="E444" t="inlineStr">
        <is>
          <t>No</t>
        </is>
      </c>
      <c r="F444" t="inlineStr">
        <is>
          <t>Cut produce</t>
        </is>
      </c>
      <c r="G444" s="13">
        <f>IFERROR(VLOOKUP(B444, 'Price Data'!A:D, 3, FALSE) * VLOOKUP(B444, 'Price Data'!A:D, 4, FALSE) * C444, "")</f>
        <v/>
      </c>
    </row>
    <row r="445">
      <c r="A445" s="3" t="n">
        <v>45749</v>
      </c>
      <c r="B445" t="inlineStr">
        <is>
          <t>ING-106</t>
        </is>
      </c>
      <c r="C445" t="n">
        <v>1</v>
      </c>
      <c r="D445" t="inlineStr">
        <is>
          <t>Hot Hold</t>
        </is>
      </c>
      <c r="E445" t="inlineStr">
        <is>
          <t>Weak Maybe</t>
        </is>
      </c>
      <c r="F445" s="2" t="inlineStr">
        <is>
          <t>Temp. logs req.</t>
        </is>
      </c>
      <c r="G445" s="13">
        <f>IFERROR(VLOOKUP(B445, 'Price Data'!A:D, 3, FALSE) * VLOOKUP(B445, 'Price Data'!A:D, 4, FALSE) * C445, "")</f>
        <v/>
      </c>
    </row>
    <row r="446">
      <c r="A446" s="3" t="n">
        <v>45749</v>
      </c>
      <c r="B446" t="inlineStr">
        <is>
          <t>ING-104</t>
        </is>
      </c>
      <c r="C446" t="n">
        <v>1</v>
      </c>
      <c r="D446" t="inlineStr">
        <is>
          <t>Expiring</t>
        </is>
      </c>
      <c r="E446" t="inlineStr">
        <is>
          <t>No</t>
        </is>
      </c>
      <c r="F446" t="inlineStr">
        <is>
          <t>Minimal Utility</t>
        </is>
      </c>
      <c r="G446" s="13">
        <f>IFERROR(VLOOKUP(B446, 'Price Data'!A:D, 3, FALSE) * VLOOKUP(B446, 'Price Data'!A:D, 4, FALSE) * C446, "")</f>
        <v/>
      </c>
    </row>
    <row r="447">
      <c r="A447" s="3" t="n">
        <v>45749</v>
      </c>
      <c r="B447" t="inlineStr">
        <is>
          <t>ING-028</t>
        </is>
      </c>
      <c r="C447" t="n">
        <v>2</v>
      </c>
      <c r="D447" t="inlineStr">
        <is>
          <t>Hot Hold</t>
        </is>
      </c>
      <c r="E447" t="inlineStr">
        <is>
          <t>No</t>
        </is>
      </c>
      <c r="F447" s="2" t="inlineStr">
        <is>
          <t>No Date | Temp. logs req.</t>
        </is>
      </c>
      <c r="G447" s="13">
        <f>IFERROR(VLOOKUP(B447, 'Price Data'!A:D, 3, FALSE) * VLOOKUP(B447, 'Price Data'!A:D, 4, FALSE) * C447, "")</f>
        <v/>
      </c>
    </row>
    <row r="448">
      <c r="A448" s="3" t="n">
        <v>45749</v>
      </c>
      <c r="B448" t="inlineStr">
        <is>
          <t>ING-056</t>
        </is>
      </c>
      <c r="C448" t="n">
        <v>2</v>
      </c>
      <c r="D448" t="inlineStr">
        <is>
          <t>Hot Hold</t>
        </is>
      </c>
      <c r="E448" t="inlineStr">
        <is>
          <t>No</t>
        </is>
      </c>
      <c r="F448" t="inlineStr">
        <is>
          <t>Temp. logs req. | Cooked produce | Minimal Utility</t>
        </is>
      </c>
      <c r="G448" s="13">
        <f>IFERROR(VLOOKUP(B448, 'Price Data'!A:D, 3, FALSE) * VLOOKUP(B448, 'Price Data'!A:D, 4, FALSE) * C448, "")</f>
        <v/>
      </c>
    </row>
    <row r="449">
      <c r="A449" s="3" t="n">
        <v>45749</v>
      </c>
      <c r="B449" t="inlineStr">
        <is>
          <t>ING-128</t>
        </is>
      </c>
      <c r="C449" t="n">
        <v>2.5</v>
      </c>
      <c r="D449" t="inlineStr">
        <is>
          <t>Hot Hold</t>
        </is>
      </c>
      <c r="E449" t="inlineStr">
        <is>
          <t>No</t>
        </is>
      </c>
      <c r="F449" t="inlineStr">
        <is>
          <t>Temp. logs req. | Cooked produce | Minimal Utility</t>
        </is>
      </c>
      <c r="G449" s="13">
        <f>IFERROR(VLOOKUP(B449, 'Price Data'!A:D, 3, FALSE) * VLOOKUP(B449, 'Price Data'!A:D, 4, FALSE) * C449, "")</f>
        <v/>
      </c>
    </row>
    <row r="450">
      <c r="A450" s="3" t="n">
        <v>45749</v>
      </c>
      <c r="B450" t="inlineStr">
        <is>
          <t>ING-106</t>
        </is>
      </c>
      <c r="C450" t="n">
        <v>2</v>
      </c>
      <c r="D450" t="inlineStr">
        <is>
          <t>Hot Hold</t>
        </is>
      </c>
      <c r="E450" t="inlineStr">
        <is>
          <t>Maybe</t>
        </is>
      </c>
      <c r="F450" t="inlineStr">
        <is>
          <t>Temp. logs req.</t>
        </is>
      </c>
      <c r="G450" s="13">
        <f>IFERROR(VLOOKUP(B450, 'Price Data'!A:D, 3, FALSE) * VLOOKUP(B450, 'Price Data'!A:D, 4, FALSE) * C450, "")</f>
        <v/>
      </c>
    </row>
    <row r="451">
      <c r="A451" s="3" t="n">
        <v>45752</v>
      </c>
      <c r="B451" t="inlineStr">
        <is>
          <t>ING-132</t>
        </is>
      </c>
      <c r="C451" t="n">
        <v>13</v>
      </c>
      <c r="D451" t="inlineStr">
        <is>
          <t>[MISCOMMUNICATION]</t>
        </is>
      </c>
      <c r="E451" t="inlineStr">
        <is>
          <t>Yes</t>
        </is>
      </c>
      <c r="F451" t="inlineStr">
        <is>
          <t>As is</t>
        </is>
      </c>
      <c r="G451" s="13">
        <f>IFERROR(VLOOKUP(B451, 'Price Data'!A:D, 3, FALSE) * VLOOKUP(B451, 'Price Data'!A:D, 4, FALSE) * C451, "")</f>
        <v/>
      </c>
    </row>
    <row r="452">
      <c r="A452" s="3" t="n">
        <v>45752</v>
      </c>
      <c r="B452" t="inlineStr">
        <is>
          <t>ING-042</t>
        </is>
      </c>
      <c r="C452" t="n">
        <v>1</v>
      </c>
      <c r="D452" t="inlineStr">
        <is>
          <t>Expiring</t>
        </is>
      </c>
      <c r="E452" t="inlineStr">
        <is>
          <t>No</t>
        </is>
      </c>
      <c r="F452" t="inlineStr">
        <is>
          <t>Minimal Utility</t>
        </is>
      </c>
      <c r="G452" s="13">
        <f>IFERROR(VLOOKUP(B452, 'Price Data'!A:D, 3, FALSE) * VLOOKUP(B452, 'Price Data'!A:D, 4, FALSE) * C452, "")</f>
        <v/>
      </c>
    </row>
    <row r="453">
      <c r="A453" s="3" t="n">
        <v>45752</v>
      </c>
      <c r="B453" t="inlineStr">
        <is>
          <t>ING-072</t>
        </is>
      </c>
      <c r="C453" t="n">
        <v>1</v>
      </c>
      <c r="D453" t="inlineStr">
        <is>
          <t>Hot Hold</t>
        </is>
      </c>
      <c r="E453" t="inlineStr">
        <is>
          <t>Maybe</t>
        </is>
      </c>
      <c r="F453" t="inlineStr">
        <is>
          <t>Freeze (req)</t>
        </is>
      </c>
      <c r="G453" s="13">
        <f>IFERROR(VLOOKUP(B453, 'Price Data'!A:D, 3, FALSE) * VLOOKUP(B453, 'Price Data'!A:D, 4, FALSE) * C453, "")</f>
        <v/>
      </c>
    </row>
    <row r="454">
      <c r="A454" s="3" t="n">
        <v>45752</v>
      </c>
      <c r="B454" t="inlineStr">
        <is>
          <t>ING-107</t>
        </is>
      </c>
      <c r="C454" t="n">
        <v>1</v>
      </c>
      <c r="D454" t="inlineStr">
        <is>
          <t>Expiring</t>
        </is>
      </c>
      <c r="E454" t="inlineStr">
        <is>
          <t>Yes</t>
        </is>
      </c>
      <c r="F454" t="inlineStr">
        <is>
          <t>Freeze (req)</t>
        </is>
      </c>
      <c r="G454" s="13">
        <f>IFERROR(VLOOKUP(B454, 'Price Data'!A:D, 3, FALSE) * VLOOKUP(B454, 'Price Data'!A:D, 4, FALSE) * C454, "")</f>
        <v/>
      </c>
    </row>
    <row r="455">
      <c r="A455" s="3" t="n">
        <v>45752</v>
      </c>
      <c r="B455" t="inlineStr">
        <is>
          <t>ING-140</t>
        </is>
      </c>
      <c r="C455" t="n">
        <v>1</v>
      </c>
      <c r="D455" t="inlineStr">
        <is>
          <t>Expiring</t>
        </is>
      </c>
      <c r="E455" t="inlineStr">
        <is>
          <t>No</t>
        </is>
      </c>
      <c r="F455" t="inlineStr">
        <is>
          <t>Minimal Utility</t>
        </is>
      </c>
      <c r="G455" s="13">
        <f>IFERROR(VLOOKUP(B455, 'Price Data'!A:D, 3, FALSE) * VLOOKUP(B455, 'Price Data'!A:D, 4, FALSE) * C455, "")</f>
        <v/>
      </c>
    </row>
    <row r="456">
      <c r="A456" s="3" t="n">
        <v>45752</v>
      </c>
      <c r="B456" t="inlineStr">
        <is>
          <t>ING-108</t>
        </is>
      </c>
      <c r="C456" t="n">
        <v>0.5</v>
      </c>
      <c r="D456" t="inlineStr">
        <is>
          <t>Expiring</t>
        </is>
      </c>
      <c r="E456" t="inlineStr">
        <is>
          <t>Weak Maybe</t>
        </is>
      </c>
      <c r="F456" t="inlineStr">
        <is>
          <t>No tamper-proof seal</t>
        </is>
      </c>
      <c r="G456" s="13">
        <f>IFERROR(VLOOKUP(B456, 'Price Data'!A:D, 3, FALSE) * VLOOKUP(B456, 'Price Data'!A:D, 4, FALSE) * C456, "")</f>
        <v/>
      </c>
    </row>
    <row r="457">
      <c r="A457" s="3" t="n">
        <v>45752</v>
      </c>
      <c r="B457" t="inlineStr">
        <is>
          <t>ING-169</t>
        </is>
      </c>
      <c r="C457" t="n">
        <v>1</v>
      </c>
      <c r="D457" t="inlineStr">
        <is>
          <t>Expiring</t>
        </is>
      </c>
      <c r="E457" t="inlineStr">
        <is>
          <t>Maybe</t>
        </is>
      </c>
      <c r="F457" t="inlineStr">
        <is>
          <t>As is | Minimal Utility</t>
        </is>
      </c>
      <c r="G457" s="13">
        <f>IFERROR(VLOOKUP(B457, 'Price Data'!A:D, 3, FALSE) * VLOOKUP(B457, 'Price Data'!A:D, 4, FALSE) * C457, "")</f>
        <v/>
      </c>
    </row>
    <row r="458">
      <c r="A458" s="3" t="n">
        <v>45752</v>
      </c>
      <c r="B458" t="inlineStr">
        <is>
          <t>ING-105</t>
        </is>
      </c>
      <c r="C458" t="n">
        <v>1</v>
      </c>
      <c r="D458" t="inlineStr">
        <is>
          <t>Hot Hold</t>
        </is>
      </c>
      <c r="E458" t="inlineStr">
        <is>
          <t>Weak Maybe</t>
        </is>
      </c>
      <c r="F458" s="2" t="inlineStr">
        <is>
          <t>Temp. logs req. | Minimal Utility</t>
        </is>
      </c>
      <c r="G458" s="13">
        <f>IFERROR(VLOOKUP(B458, 'Price Data'!A:D, 3, FALSE) * VLOOKUP(B458, 'Price Data'!A:D, 4, FALSE) * C458, "")</f>
        <v/>
      </c>
    </row>
    <row r="459">
      <c r="A459" s="3" t="n">
        <v>45752</v>
      </c>
      <c r="B459" t="inlineStr">
        <is>
          <t>ING-056</t>
        </is>
      </c>
      <c r="C459" t="n">
        <v>1.5</v>
      </c>
      <c r="D459" t="inlineStr">
        <is>
          <t>Hot Hold</t>
        </is>
      </c>
      <c r="E459" t="inlineStr">
        <is>
          <t>No</t>
        </is>
      </c>
      <c r="F459" s="5" t="inlineStr">
        <is>
          <t>Temp. logs req. | Cooked produce | Minimal Utility</t>
        </is>
      </c>
      <c r="G459" s="13">
        <f>IFERROR(VLOOKUP(B459, 'Price Data'!A:D, 3, FALSE) * VLOOKUP(B459, 'Price Data'!A:D, 4, FALSE) * C459, "")</f>
        <v/>
      </c>
    </row>
    <row r="460">
      <c r="A460" s="3" t="n">
        <v>45752</v>
      </c>
      <c r="B460" t="inlineStr">
        <is>
          <t>ING-082</t>
        </is>
      </c>
      <c r="C460" t="n">
        <v>1.5</v>
      </c>
      <c r="D460" t="inlineStr">
        <is>
          <t>Expiring</t>
        </is>
      </c>
      <c r="E460" t="inlineStr">
        <is>
          <t>No</t>
        </is>
      </c>
      <c r="F460" t="inlineStr">
        <is>
          <t>Minimal Utility</t>
        </is>
      </c>
      <c r="G460" s="13">
        <f>IFERROR(VLOOKUP(B460, 'Price Data'!A:D, 3, FALSE) * VLOOKUP(B460, 'Price Data'!A:D, 4, FALSE) * C460, "")</f>
        <v/>
      </c>
    </row>
    <row r="461">
      <c r="A461" s="3" t="n">
        <v>45752</v>
      </c>
      <c r="B461" t="inlineStr">
        <is>
          <t>ING-142</t>
        </is>
      </c>
      <c r="C461" t="n">
        <v>1</v>
      </c>
      <c r="D461" t="inlineStr">
        <is>
          <t>Expiring</t>
        </is>
      </c>
      <c r="E461" t="inlineStr">
        <is>
          <t>Yes</t>
        </is>
      </c>
      <c r="F461" t="inlineStr">
        <is>
          <t>Freeze (req)</t>
        </is>
      </c>
      <c r="G461" s="13">
        <f>IFERROR(VLOOKUP(B461, 'Price Data'!A:D, 3, FALSE) * VLOOKUP(B461, 'Price Data'!A:D, 4, FALSE) * C461, "")</f>
        <v/>
      </c>
    </row>
    <row r="462">
      <c r="A462" s="3" t="n">
        <v>45752</v>
      </c>
      <c r="B462" t="inlineStr">
        <is>
          <t>ING-076</t>
        </is>
      </c>
      <c r="C462" t="n">
        <v>1.5</v>
      </c>
      <c r="D462" t="inlineStr">
        <is>
          <t>Hot Hold</t>
        </is>
      </c>
      <c r="E462" t="inlineStr">
        <is>
          <t>Weak Maybe</t>
        </is>
      </c>
      <c r="F462" t="inlineStr">
        <is>
          <t>Temp. logs req.</t>
        </is>
      </c>
      <c r="G462" s="13">
        <f>IFERROR(VLOOKUP(B462, 'Price Data'!A:D, 3, FALSE) * VLOOKUP(B462, 'Price Data'!A:D, 4, FALSE) * C462, "")</f>
        <v/>
      </c>
    </row>
    <row r="463">
      <c r="A463" s="3" t="n">
        <v>45752</v>
      </c>
      <c r="B463" t="inlineStr">
        <is>
          <t>ING-090</t>
        </is>
      </c>
      <c r="C463" t="n">
        <v>3</v>
      </c>
      <c r="D463" t="inlineStr">
        <is>
          <t>Expiring</t>
        </is>
      </c>
      <c r="E463" t="inlineStr">
        <is>
          <t>Strong Maybe</t>
        </is>
      </c>
      <c r="F463" t="inlineStr">
        <is>
          <t xml:space="preserve">Freeze (rec) </t>
        </is>
      </c>
      <c r="G463" s="13">
        <f>IFERROR(VLOOKUP(B463, 'Price Data'!A:D, 3, FALSE) * VLOOKUP(B463, 'Price Data'!A:D, 4, FALSE) * C463, "")</f>
        <v/>
      </c>
    </row>
    <row r="464">
      <c r="A464" s="3" t="n">
        <v>45752</v>
      </c>
      <c r="B464" t="inlineStr">
        <is>
          <t>ING-185</t>
        </is>
      </c>
      <c r="C464" t="n">
        <v>0.5</v>
      </c>
      <c r="D464" t="inlineStr">
        <is>
          <t>Expiring</t>
        </is>
      </c>
      <c r="E464" t="inlineStr">
        <is>
          <t>No</t>
        </is>
      </c>
      <c r="F464" s="2" t="inlineStr">
        <is>
          <t>No tamper-proof seal</t>
        </is>
      </c>
      <c r="G464" s="13">
        <f>IFERROR(VLOOKUP(B464, 'Price Data'!A:D, 3, FALSE) * VLOOKUP(B464, 'Price Data'!A:D, 4, FALSE) * C464, "")</f>
        <v/>
      </c>
    </row>
    <row r="465">
      <c r="A465" s="3" t="n">
        <v>45752</v>
      </c>
      <c r="B465" t="inlineStr">
        <is>
          <t>ING-097</t>
        </is>
      </c>
      <c r="C465" t="n">
        <v>0.5</v>
      </c>
      <c r="D465" t="inlineStr">
        <is>
          <t>Hot Hold</t>
        </is>
      </c>
      <c r="E465" t="inlineStr">
        <is>
          <t>Weak Maybe</t>
        </is>
      </c>
      <c r="F465" t="inlineStr">
        <is>
          <t>Temp. logs req. | Minimal Utility</t>
        </is>
      </c>
      <c r="G465" s="13">
        <f>IFERROR(VLOOKUP(B465, 'Price Data'!A:D, 3, FALSE) * VLOOKUP(B465, 'Price Data'!A:D, 4, FALSE) * C465, "")</f>
        <v/>
      </c>
    </row>
    <row r="466">
      <c r="A466" s="3" t="n">
        <v>45752</v>
      </c>
      <c r="B466" t="inlineStr">
        <is>
          <t>ING-088</t>
        </is>
      </c>
      <c r="C466" t="n">
        <v>2.5</v>
      </c>
      <c r="D466" t="inlineStr">
        <is>
          <t>Expiring</t>
        </is>
      </c>
      <c r="E466" t="inlineStr">
        <is>
          <t>No</t>
        </is>
      </c>
      <c r="F466" t="inlineStr">
        <is>
          <t>Cut produce</t>
        </is>
      </c>
      <c r="G466" s="13">
        <f>IFERROR(VLOOKUP(B466, 'Price Data'!A:D, 3, FALSE) * VLOOKUP(B466, 'Price Data'!A:D, 4, FALSE) * C466, "")</f>
        <v/>
      </c>
    </row>
    <row r="467">
      <c r="A467" s="3" t="n">
        <v>45752</v>
      </c>
      <c r="B467" t="inlineStr">
        <is>
          <t>ING-057</t>
        </is>
      </c>
      <c r="C467" t="n">
        <v>0.5</v>
      </c>
      <c r="D467" t="inlineStr">
        <is>
          <t>Expiring</t>
        </is>
      </c>
      <c r="E467" t="inlineStr">
        <is>
          <t>Weak Maybe</t>
        </is>
      </c>
      <c r="F467" t="inlineStr">
        <is>
          <t>Cut produce | No tamper-proof seal</t>
        </is>
      </c>
      <c r="G467" s="13">
        <f>IFERROR(VLOOKUP(B467, 'Price Data'!A:D, 3, FALSE) * VLOOKUP(B467, 'Price Data'!A:D, 4, FALSE) * C467, "")</f>
        <v/>
      </c>
    </row>
    <row r="468">
      <c r="A468" s="3" t="n">
        <v>45752</v>
      </c>
      <c r="B468" t="inlineStr">
        <is>
          <t>ING-088</t>
        </is>
      </c>
      <c r="C468" t="n">
        <v>1</v>
      </c>
      <c r="D468" t="inlineStr">
        <is>
          <t>Expiring</t>
        </is>
      </c>
      <c r="E468" t="inlineStr">
        <is>
          <t>No</t>
        </is>
      </c>
      <c r="F468" t="inlineStr">
        <is>
          <t>Cut produce</t>
        </is>
      </c>
      <c r="G468" s="13">
        <f>IFERROR(VLOOKUP(B468, 'Price Data'!A:D, 3, FALSE) * VLOOKUP(B468, 'Price Data'!A:D, 4, FALSE) * C468, "")</f>
        <v/>
      </c>
    </row>
    <row r="469">
      <c r="A469" s="3" t="n">
        <v>45752</v>
      </c>
      <c r="B469" t="inlineStr">
        <is>
          <t>ING-157</t>
        </is>
      </c>
      <c r="C469" t="n">
        <v>1</v>
      </c>
      <c r="D469" t="inlineStr">
        <is>
          <t>Hot Hold</t>
        </is>
      </c>
      <c r="E469" t="inlineStr">
        <is>
          <t>Maybe</t>
        </is>
      </c>
      <c r="F469" t="inlineStr">
        <is>
          <t>Temp. logs req.</t>
        </is>
      </c>
      <c r="G469" s="13">
        <f>IFERROR(VLOOKUP(B469, 'Price Data'!A:D, 3, FALSE) * VLOOKUP(B469, 'Price Data'!A:D, 4, FALSE) * C469, "")</f>
        <v/>
      </c>
    </row>
    <row r="470">
      <c r="A470" s="3" t="n">
        <v>45752</v>
      </c>
      <c r="B470" t="inlineStr">
        <is>
          <t>ING-056</t>
        </is>
      </c>
      <c r="C470" t="n">
        <v>1.5</v>
      </c>
      <c r="D470" t="inlineStr">
        <is>
          <t>Hot Hold</t>
        </is>
      </c>
      <c r="E470" t="inlineStr">
        <is>
          <t>No</t>
        </is>
      </c>
      <c r="F470" t="inlineStr">
        <is>
          <t>Temp. logs req. | Cooked produce | Minimal Utility</t>
        </is>
      </c>
      <c r="G470" s="13">
        <f>IFERROR(VLOOKUP(B470, 'Price Data'!A:D, 3, FALSE) * VLOOKUP(B470, 'Price Data'!A:D, 4, FALSE) * C470, "")</f>
        <v/>
      </c>
    </row>
    <row r="471">
      <c r="A471" s="3" t="n">
        <v>45752</v>
      </c>
      <c r="B471" t="inlineStr">
        <is>
          <t>ING-006</t>
        </is>
      </c>
      <c r="C471" t="n">
        <v>3</v>
      </c>
      <c r="D471" t="inlineStr">
        <is>
          <t>Expiring</t>
        </is>
      </c>
      <c r="E471" t="inlineStr">
        <is>
          <t>Strong Maybe</t>
        </is>
      </c>
      <c r="F471" t="inlineStr">
        <is>
          <t>Freeze (req) | Seafood</t>
        </is>
      </c>
      <c r="G471" s="13">
        <f>IFERROR(VLOOKUP(B471, 'Price Data'!A:D, 3, FALSE) * VLOOKUP(B471, 'Price Data'!A:D, 4, FALSE) * C471, "")</f>
        <v/>
      </c>
    </row>
    <row r="472">
      <c r="A472" s="3" t="n">
        <v>45752</v>
      </c>
      <c r="B472" t="inlineStr">
        <is>
          <t>ING-039</t>
        </is>
      </c>
      <c r="C472" t="n">
        <v>1</v>
      </c>
      <c r="D472" t="inlineStr">
        <is>
          <t>Expiring</t>
        </is>
      </c>
      <c r="E472" t="inlineStr">
        <is>
          <t>Yes</t>
        </is>
      </c>
      <c r="F472" t="inlineStr">
        <is>
          <t>Freeze (req)</t>
        </is>
      </c>
      <c r="G472" s="13">
        <f>IFERROR(VLOOKUP(B472, 'Price Data'!A:D, 3, FALSE) * VLOOKUP(B472, 'Price Data'!A:D, 4, FALSE) * C472, "")</f>
        <v/>
      </c>
    </row>
    <row r="473">
      <c r="A473" s="3" t="n">
        <v>45752</v>
      </c>
      <c r="B473" t="inlineStr">
        <is>
          <t>ING-091</t>
        </is>
      </c>
      <c r="C473" t="n">
        <v>2</v>
      </c>
      <c r="D473" t="inlineStr">
        <is>
          <t>Expiring</t>
        </is>
      </c>
      <c r="E473" t="inlineStr">
        <is>
          <t>Yes</t>
        </is>
      </c>
      <c r="F473" t="inlineStr">
        <is>
          <t>Freeze (req)</t>
        </is>
      </c>
      <c r="G473" s="13">
        <f>IFERROR(VLOOKUP(B473, 'Price Data'!A:D, 3, FALSE) * VLOOKUP(B473, 'Price Data'!A:D, 4, FALSE) * C473, "")</f>
        <v/>
      </c>
    </row>
    <row r="474">
      <c r="A474" s="3" t="n">
        <v>45752</v>
      </c>
      <c r="B474" t="inlineStr">
        <is>
          <t>ING-141</t>
        </is>
      </c>
      <c r="C474" t="n">
        <v>6</v>
      </c>
      <c r="D474" t="inlineStr">
        <is>
          <t>Expiring</t>
        </is>
      </c>
      <c r="E474" t="inlineStr">
        <is>
          <t>Yes</t>
        </is>
      </c>
      <c r="F474" t="inlineStr">
        <is>
          <t>Freeze (rec)</t>
        </is>
      </c>
      <c r="G474" s="13">
        <f>IFERROR(VLOOKUP(B474, 'Price Data'!A:D, 3, FALSE) * VLOOKUP(B474, 'Price Data'!A:D, 4, FALSE) * C474, "")</f>
        <v/>
      </c>
    </row>
    <row r="475">
      <c r="A475" s="3" t="n">
        <v>45752</v>
      </c>
      <c r="B475" t="inlineStr">
        <is>
          <t>ING-157</t>
        </is>
      </c>
      <c r="C475" t="n">
        <v>2.5</v>
      </c>
      <c r="D475" t="inlineStr">
        <is>
          <t>Hot Hold</t>
        </is>
      </c>
      <c r="E475" t="inlineStr">
        <is>
          <t>Maybe</t>
        </is>
      </c>
      <c r="F475" s="2" t="inlineStr">
        <is>
          <t>Temp. logs req.</t>
        </is>
      </c>
      <c r="G475" s="13">
        <f>IFERROR(VLOOKUP(B475, 'Price Data'!A:D, 3, FALSE) * VLOOKUP(B475, 'Price Data'!A:D, 4, FALSE) * C475, "")</f>
        <v/>
      </c>
    </row>
    <row r="476">
      <c r="A476" s="3" t="n">
        <v>45752</v>
      </c>
      <c r="B476" t="inlineStr">
        <is>
          <t>ING-056</t>
        </is>
      </c>
      <c r="C476" t="n">
        <v>2.5</v>
      </c>
      <c r="D476" t="inlineStr">
        <is>
          <t>Hot Hold</t>
        </is>
      </c>
      <c r="E476" t="inlineStr">
        <is>
          <t>No</t>
        </is>
      </c>
      <c r="F476" t="inlineStr">
        <is>
          <t>Temp. logs req. | Cooked produce | Minimal Utility</t>
        </is>
      </c>
      <c r="G476" s="13">
        <f>IFERROR(VLOOKUP(B476, 'Price Data'!A:D, 3, FALSE) * VLOOKUP(B476, 'Price Data'!A:D, 4, FALSE) * C476, "")</f>
        <v/>
      </c>
    </row>
    <row r="477">
      <c r="A477" s="3" t="n">
        <v>45752</v>
      </c>
      <c r="B477" t="inlineStr">
        <is>
          <t>ING-083</t>
        </is>
      </c>
      <c r="C477" t="n">
        <v>1</v>
      </c>
      <c r="D477" t="inlineStr">
        <is>
          <t>Hot Hold</t>
        </is>
      </c>
      <c r="E477" t="inlineStr">
        <is>
          <t>Weak Maybe</t>
        </is>
      </c>
      <c r="F477" t="inlineStr">
        <is>
          <t>Temp. logs req.</t>
        </is>
      </c>
      <c r="G477" s="13">
        <f>IFERROR(VLOOKUP(B477, 'Price Data'!A:D, 3, FALSE) * VLOOKUP(B477, 'Price Data'!A:D, 4, FALSE) * C477, "")</f>
        <v/>
      </c>
    </row>
    <row r="478">
      <c r="A478" s="3" t="n">
        <v>45752</v>
      </c>
      <c r="B478" t="inlineStr">
        <is>
          <t>ING-114</t>
        </is>
      </c>
      <c r="C478" t="n">
        <v>4</v>
      </c>
      <c r="D478" t="inlineStr">
        <is>
          <t>Expiring</t>
        </is>
      </c>
      <c r="E478" t="inlineStr">
        <is>
          <t>Strong Maybe</t>
        </is>
      </c>
      <c r="F478" t="inlineStr">
        <is>
          <t>Freeze (req)</t>
        </is>
      </c>
      <c r="G478" s="13">
        <f>IFERROR(VLOOKUP(B478, 'Price Data'!A:D, 3, FALSE) * VLOOKUP(B478, 'Price Data'!A:D, 4, FALSE) * C478, "")</f>
        <v/>
      </c>
    </row>
    <row r="479">
      <c r="A479" s="3" t="n">
        <v>45752</v>
      </c>
      <c r="B479" t="inlineStr">
        <is>
          <t>ING-157</t>
        </is>
      </c>
      <c r="C479" t="n">
        <v>3.5</v>
      </c>
      <c r="D479" t="inlineStr">
        <is>
          <t>Hot Hold</t>
        </is>
      </c>
      <c r="E479" t="inlineStr">
        <is>
          <t>Maybe</t>
        </is>
      </c>
      <c r="F479" t="inlineStr">
        <is>
          <t>Temp. logs req.</t>
        </is>
      </c>
      <c r="G479" s="13">
        <f>IFERROR(VLOOKUP(B479, 'Price Data'!A:D, 3, FALSE) * VLOOKUP(B479, 'Price Data'!A:D, 4, FALSE) * C479, "")</f>
        <v/>
      </c>
    </row>
    <row r="480">
      <c r="A480" s="3" t="n">
        <v>45753</v>
      </c>
      <c r="B480" t="inlineStr">
        <is>
          <t>ING-028</t>
        </is>
      </c>
      <c r="C480" t="n">
        <v>2</v>
      </c>
      <c r="D480" t="inlineStr">
        <is>
          <t>Hot Hold</t>
        </is>
      </c>
      <c r="E480" t="inlineStr">
        <is>
          <t>No</t>
        </is>
      </c>
      <c r="F480" t="inlineStr">
        <is>
          <t>No Date | Temp. logs req.</t>
        </is>
      </c>
      <c r="G480" s="13">
        <f>IFERROR(VLOOKUP(B480, 'Price Data'!A:D, 3, FALSE) * VLOOKUP(B480, 'Price Data'!A:D, 4, FALSE) * C480, "")</f>
        <v/>
      </c>
    </row>
    <row r="481">
      <c r="A481" s="3" t="n">
        <v>45753</v>
      </c>
      <c r="B481" t="inlineStr">
        <is>
          <t>ING-028</t>
        </is>
      </c>
      <c r="C481" t="n">
        <v>3.5</v>
      </c>
      <c r="D481" t="inlineStr">
        <is>
          <t>Hot Hold</t>
        </is>
      </c>
      <c r="E481" t="inlineStr">
        <is>
          <t>No</t>
        </is>
      </c>
      <c r="F481" t="inlineStr">
        <is>
          <t>No Date</t>
        </is>
      </c>
      <c r="G481" s="13">
        <f>IFERROR(VLOOKUP(B481, 'Price Data'!A:D, 3, FALSE) * VLOOKUP(B481, 'Price Data'!A:D, 4, FALSE) * C481, "")</f>
        <v/>
      </c>
    </row>
    <row r="482">
      <c r="A482" s="3" t="n">
        <v>45753</v>
      </c>
      <c r="B482" t="inlineStr">
        <is>
          <t>ING-178</t>
        </is>
      </c>
      <c r="C482" t="n">
        <v>1.5</v>
      </c>
      <c r="D482" t="inlineStr">
        <is>
          <t>Expiring</t>
        </is>
      </c>
      <c r="E482" t="inlineStr">
        <is>
          <t>Maybe</t>
        </is>
      </c>
      <c r="F482" t="inlineStr">
        <is>
          <t>Cut produce | No tamper-proof seal</t>
        </is>
      </c>
      <c r="G482" s="13">
        <f>IFERROR(VLOOKUP(B482, 'Price Data'!A:D, 3, FALSE) * VLOOKUP(B482, 'Price Data'!A:D, 4, FALSE) * C482, "")</f>
        <v/>
      </c>
    </row>
    <row r="483">
      <c r="A483" s="3" t="n">
        <v>45753</v>
      </c>
      <c r="B483" t="inlineStr">
        <is>
          <t>ING-068</t>
        </is>
      </c>
      <c r="C483" t="n">
        <v>1</v>
      </c>
      <c r="D483" t="inlineStr">
        <is>
          <t>Hot Hold</t>
        </is>
      </c>
      <c r="E483" t="inlineStr">
        <is>
          <t>Maybe</t>
        </is>
      </c>
      <c r="F483" t="inlineStr">
        <is>
          <t>Temp. logs req.</t>
        </is>
      </c>
      <c r="G483" s="13">
        <f>IFERROR(VLOOKUP(B483, 'Price Data'!A:D, 3, FALSE) * VLOOKUP(B483, 'Price Data'!A:D, 4, FALSE) * C483, "")</f>
        <v/>
      </c>
    </row>
    <row r="484">
      <c r="A484" s="3" t="n">
        <v>45753</v>
      </c>
      <c r="B484" t="inlineStr">
        <is>
          <t>ING-089</t>
        </is>
      </c>
      <c r="C484" t="n">
        <v>1</v>
      </c>
      <c r="D484" t="inlineStr">
        <is>
          <t>Expiring</t>
        </is>
      </c>
      <c r="E484" t="inlineStr">
        <is>
          <t>No</t>
        </is>
      </c>
      <c r="F484" t="inlineStr">
        <is>
          <t>No tamper-proof seal</t>
        </is>
      </c>
      <c r="G484" s="13">
        <f>IFERROR(VLOOKUP(B484, 'Price Data'!A:D, 3, FALSE) * VLOOKUP(B484, 'Price Data'!A:D, 4, FALSE) * C484, "")</f>
        <v/>
      </c>
    </row>
    <row r="485">
      <c r="A485" s="3" t="n">
        <v>45753</v>
      </c>
      <c r="B485" t="inlineStr">
        <is>
          <t>ING-055</t>
        </is>
      </c>
      <c r="C485" t="n">
        <v>4</v>
      </c>
      <c r="D485" t="inlineStr">
        <is>
          <t>Expiring</t>
        </is>
      </c>
      <c r="E485" t="inlineStr">
        <is>
          <t>Yes</t>
        </is>
      </c>
      <c r="F485" s="2" t="inlineStr">
        <is>
          <t xml:space="preserve">Freeze (rec) </t>
        </is>
      </c>
      <c r="G485" s="13">
        <f>IFERROR(VLOOKUP(B485, 'Price Data'!A:D, 3, FALSE) * VLOOKUP(B485, 'Price Data'!A:D, 4, FALSE) * C485, "")</f>
        <v/>
      </c>
    </row>
    <row r="486">
      <c r="A486" s="3" t="n">
        <v>45753</v>
      </c>
      <c r="B486" t="inlineStr">
        <is>
          <t>ING-148</t>
        </is>
      </c>
      <c r="C486" t="n">
        <v>1.5</v>
      </c>
      <c r="D486" t="inlineStr">
        <is>
          <t>Hot Hold</t>
        </is>
      </c>
      <c r="E486" t="inlineStr">
        <is>
          <t>Maybe</t>
        </is>
      </c>
      <c r="F486" t="inlineStr">
        <is>
          <t>Temp. logs req.</t>
        </is>
      </c>
      <c r="G486" s="13">
        <f>IFERROR(VLOOKUP(B486, 'Price Data'!A:D, 3, FALSE) * VLOOKUP(B486, 'Price Data'!A:D, 4, FALSE) * C486, "")</f>
        <v/>
      </c>
    </row>
    <row r="487">
      <c r="A487" s="3" t="n">
        <v>45753</v>
      </c>
      <c r="B487" t="inlineStr">
        <is>
          <t>ING-164</t>
        </is>
      </c>
      <c r="C487" t="n">
        <v>0.5</v>
      </c>
      <c r="D487" t="inlineStr">
        <is>
          <t>Expiring</t>
        </is>
      </c>
      <c r="E487" t="inlineStr">
        <is>
          <t>Weak Maybe</t>
        </is>
      </c>
      <c r="F487" t="inlineStr">
        <is>
          <t>No tamper-proof seal</t>
        </is>
      </c>
      <c r="G487" s="13">
        <f>IFERROR(VLOOKUP(B487, 'Price Data'!A:D, 3, FALSE) * VLOOKUP(B487, 'Price Data'!A:D, 4, FALSE) * C487, "")</f>
        <v/>
      </c>
    </row>
    <row r="488">
      <c r="A488" s="3" t="n">
        <v>45753</v>
      </c>
      <c r="B488" t="inlineStr">
        <is>
          <t>ING-135</t>
        </is>
      </c>
      <c r="C488" t="n">
        <v>1</v>
      </c>
      <c r="D488" t="inlineStr">
        <is>
          <t>DISCARDED</t>
        </is>
      </c>
      <c r="E488" t="inlineStr">
        <is>
          <t>No</t>
        </is>
      </c>
      <c r="F488" t="inlineStr">
        <is>
          <t>N/A</t>
        </is>
      </c>
      <c r="G488" s="13">
        <f>IFERROR(VLOOKUP(B488, 'Price Data'!A:D, 3, FALSE) * VLOOKUP(B488, 'Price Data'!A:D, 4, FALSE) * C488, "")</f>
        <v/>
      </c>
    </row>
    <row r="489">
      <c r="A489" s="3" t="n">
        <v>45753</v>
      </c>
      <c r="B489" t="inlineStr">
        <is>
          <t>ING-146</t>
        </is>
      </c>
      <c r="C489" t="n">
        <v>1.5</v>
      </c>
      <c r="D489" t="inlineStr">
        <is>
          <t>Hot Hold</t>
        </is>
      </c>
      <c r="E489" t="inlineStr">
        <is>
          <t>Weak Maybe</t>
        </is>
      </c>
      <c r="F489" t="inlineStr">
        <is>
          <t>Temp. logs req.</t>
        </is>
      </c>
      <c r="G489" s="13">
        <f>IFERROR(VLOOKUP(B489, 'Price Data'!A:D, 3, FALSE) * VLOOKUP(B489, 'Price Data'!A:D, 4, FALSE) * C489, "")</f>
        <v/>
      </c>
    </row>
    <row r="490">
      <c r="A490" s="3" t="n">
        <v>45753</v>
      </c>
      <c r="B490" t="inlineStr">
        <is>
          <t>ING-065</t>
        </is>
      </c>
      <c r="C490" t="n">
        <v>1</v>
      </c>
      <c r="D490" t="inlineStr">
        <is>
          <t>Expiring</t>
        </is>
      </c>
      <c r="E490" t="inlineStr">
        <is>
          <t>Yes</t>
        </is>
      </c>
      <c r="F490" t="inlineStr">
        <is>
          <t>Freeze (req)</t>
        </is>
      </c>
      <c r="G490" s="13">
        <f>IFERROR(VLOOKUP(B490, 'Price Data'!A:D, 3, FALSE) * VLOOKUP(B490, 'Price Data'!A:D, 4, FALSE) * C490, "")</f>
        <v/>
      </c>
    </row>
    <row r="491">
      <c r="A491" s="3" t="n">
        <v>45753</v>
      </c>
      <c r="B491" t="inlineStr">
        <is>
          <t>ING-024</t>
        </is>
      </c>
      <c r="C491" t="n">
        <v>2</v>
      </c>
      <c r="D491" t="inlineStr">
        <is>
          <t>Expiring</t>
        </is>
      </c>
      <c r="E491" t="inlineStr">
        <is>
          <t>Yes</t>
        </is>
      </c>
      <c r="F491" t="inlineStr">
        <is>
          <t xml:space="preserve">Freeze (rec) </t>
        </is>
      </c>
      <c r="G491" s="13">
        <f>IFERROR(VLOOKUP(B491, 'Price Data'!A:D, 3, FALSE) * VLOOKUP(B491, 'Price Data'!A:D, 4, FALSE) * C491, "")</f>
        <v/>
      </c>
    </row>
    <row r="492">
      <c r="A492" s="3" t="n">
        <v>45753</v>
      </c>
      <c r="B492" t="inlineStr">
        <is>
          <t>ING-006</t>
        </is>
      </c>
      <c r="C492" t="n">
        <v>3.5</v>
      </c>
      <c r="D492" t="inlineStr">
        <is>
          <t>Expiring</t>
        </is>
      </c>
      <c r="E492" t="inlineStr">
        <is>
          <t>Strong Maybe</t>
        </is>
      </c>
      <c r="F492" t="inlineStr">
        <is>
          <t>Freeze (req) | Seafood</t>
        </is>
      </c>
      <c r="G492" s="13">
        <f>IFERROR(VLOOKUP(B492, 'Price Data'!A:D, 3, FALSE) * VLOOKUP(B492, 'Price Data'!A:D, 4, FALSE) * C492, "")</f>
        <v/>
      </c>
    </row>
    <row r="493">
      <c r="A493" s="3" t="n">
        <v>45753</v>
      </c>
      <c r="B493" t="inlineStr">
        <is>
          <t>ING-033</t>
        </is>
      </c>
      <c r="C493" t="n">
        <v>3</v>
      </c>
      <c r="D493" t="inlineStr">
        <is>
          <t>Expiring</t>
        </is>
      </c>
      <c r="E493" t="inlineStr">
        <is>
          <t>No</t>
        </is>
      </c>
      <c r="F493" t="inlineStr">
        <is>
          <t>Cut produce | No tamper-proof seal</t>
        </is>
      </c>
      <c r="G493" s="13">
        <f>IFERROR(VLOOKUP(B493, 'Price Data'!A:D, 3, FALSE) * VLOOKUP(B493, 'Price Data'!A:D, 4, FALSE) * C493, "")</f>
        <v/>
      </c>
    </row>
    <row r="494">
      <c r="A494" s="3" t="n">
        <v>45753</v>
      </c>
      <c r="B494" t="inlineStr">
        <is>
          <t>ING-045</t>
        </is>
      </c>
      <c r="C494" t="n">
        <v>4</v>
      </c>
      <c r="D494" t="inlineStr">
        <is>
          <t>Expiring</t>
        </is>
      </c>
      <c r="E494" t="inlineStr">
        <is>
          <t>Strong Maybe</t>
        </is>
      </c>
      <c r="F494" t="inlineStr">
        <is>
          <t>Cut produce | As is</t>
        </is>
      </c>
      <c r="G494" s="13">
        <f>IFERROR(VLOOKUP(B494, 'Price Data'!A:D, 3, FALSE) * VLOOKUP(B494, 'Price Data'!A:D, 4, FALSE) * C494, "")</f>
        <v/>
      </c>
    </row>
    <row r="495">
      <c r="A495" s="3" t="n">
        <v>45753</v>
      </c>
      <c r="B495" t="inlineStr">
        <is>
          <t>ING-158</t>
        </is>
      </c>
      <c r="C495" t="n">
        <v>1</v>
      </c>
      <c r="D495" t="inlineStr">
        <is>
          <t>Expiring</t>
        </is>
      </c>
      <c r="E495" t="inlineStr">
        <is>
          <t>Strong Maybe</t>
        </is>
      </c>
      <c r="F495" t="inlineStr">
        <is>
          <t>Freeze (req) | Seafood</t>
        </is>
      </c>
      <c r="G495" s="13">
        <f>IFERROR(VLOOKUP(B495, 'Price Data'!A:D, 3, FALSE) * VLOOKUP(B495, 'Price Data'!A:D, 4, FALSE) * C495, "")</f>
        <v/>
      </c>
    </row>
    <row r="496">
      <c r="A496" s="3" t="n">
        <v>45753</v>
      </c>
      <c r="B496" t="inlineStr">
        <is>
          <t>ING-110</t>
        </is>
      </c>
      <c r="C496" t="n">
        <v>0.5</v>
      </c>
      <c r="D496" t="inlineStr">
        <is>
          <t>Expiring</t>
        </is>
      </c>
      <c r="E496" t="inlineStr">
        <is>
          <t>No</t>
        </is>
      </c>
      <c r="F496" t="inlineStr">
        <is>
          <t>No tamper-proof seal</t>
        </is>
      </c>
      <c r="G496" s="13">
        <f>IFERROR(VLOOKUP(B496, 'Price Data'!A:D, 3, FALSE) * VLOOKUP(B496, 'Price Data'!A:D, 4, FALSE) * C496, "")</f>
        <v/>
      </c>
    </row>
    <row r="497">
      <c r="A497" s="3" t="n">
        <v>45753</v>
      </c>
      <c r="B497" t="inlineStr">
        <is>
          <t>ING-004</t>
        </is>
      </c>
      <c r="C497" t="n">
        <v>1</v>
      </c>
      <c r="D497" t="inlineStr">
        <is>
          <t>Expiring</t>
        </is>
      </c>
      <c r="E497" s="15" t="inlineStr">
        <is>
          <t>Weak Maybe</t>
        </is>
      </c>
      <c r="F497" t="inlineStr">
        <is>
          <t>Minimal Utility</t>
        </is>
      </c>
      <c r="G497" s="13">
        <f>IFERROR(VLOOKUP(B497, 'Price Data'!A:D, 3, FALSE) * VLOOKUP(B497, 'Price Data'!A:D, 4, FALSE) * C497, "")</f>
        <v/>
      </c>
    </row>
    <row r="498">
      <c r="A498" s="3" t="n">
        <v>45753</v>
      </c>
      <c r="B498" t="inlineStr">
        <is>
          <t>ING-160</t>
        </is>
      </c>
      <c r="C498" t="n">
        <v>1</v>
      </c>
      <c r="D498" t="inlineStr">
        <is>
          <t>Expiring</t>
        </is>
      </c>
      <c r="E498" t="inlineStr">
        <is>
          <t>No</t>
        </is>
      </c>
      <c r="F498" s="2" t="inlineStr">
        <is>
          <t>No tamper-proof seal</t>
        </is>
      </c>
      <c r="G498" s="13">
        <f>IFERROR(VLOOKUP(B498, 'Price Data'!A:D, 3, FALSE) * VLOOKUP(B498, 'Price Data'!A:D, 4, FALSE) * C498, "")</f>
        <v/>
      </c>
    </row>
    <row r="499">
      <c r="A499" s="3" t="n">
        <v>45753</v>
      </c>
      <c r="B499" t="inlineStr">
        <is>
          <t>ING-066</t>
        </is>
      </c>
      <c r="C499" t="n">
        <v>1</v>
      </c>
      <c r="D499" t="inlineStr">
        <is>
          <t>Expiring</t>
        </is>
      </c>
      <c r="E499" t="inlineStr">
        <is>
          <t>Yes</t>
        </is>
      </c>
      <c r="F499" t="inlineStr">
        <is>
          <t xml:space="preserve">Freeze (rec) </t>
        </is>
      </c>
      <c r="G499" s="13">
        <f>IFERROR(VLOOKUP(B499, 'Price Data'!A:D, 3, FALSE) * VLOOKUP(B499, 'Price Data'!A:D, 4, FALSE) * C499, "")</f>
        <v/>
      </c>
    </row>
    <row r="500">
      <c r="A500" s="3" t="n">
        <v>45753</v>
      </c>
      <c r="B500" t="inlineStr">
        <is>
          <t>ING-163</t>
        </is>
      </c>
      <c r="C500" t="n">
        <v>0.5</v>
      </c>
      <c r="D500" t="inlineStr">
        <is>
          <t>Hot Hold</t>
        </is>
      </c>
      <c r="E500" t="inlineStr">
        <is>
          <t>Weak Maybe</t>
        </is>
      </c>
      <c r="F500" t="inlineStr">
        <is>
          <t>Temp. logs req.</t>
        </is>
      </c>
      <c r="G500" s="13">
        <f>IFERROR(VLOOKUP(B500, 'Price Data'!A:D, 3, FALSE) * VLOOKUP(B500, 'Price Data'!A:D, 4, FALSE) * C500, "")</f>
        <v/>
      </c>
    </row>
    <row r="501">
      <c r="A501" s="3" t="n">
        <v>45753</v>
      </c>
      <c r="B501" t="inlineStr">
        <is>
          <t>ING-106</t>
        </is>
      </c>
      <c r="C501" t="n">
        <v>1</v>
      </c>
      <c r="D501" t="inlineStr">
        <is>
          <t>Hot Hold</t>
        </is>
      </c>
      <c r="E501" t="inlineStr">
        <is>
          <t>Weak Maybe</t>
        </is>
      </c>
      <c r="F501" t="inlineStr">
        <is>
          <t>Temp. logs req.</t>
        </is>
      </c>
      <c r="G501" s="13">
        <f>IFERROR(VLOOKUP(B501, 'Price Data'!A:D, 3, FALSE) * VLOOKUP(B501, 'Price Data'!A:D, 4, FALSE) * C501, "")</f>
        <v/>
      </c>
    </row>
    <row r="502">
      <c r="A502" s="3" t="n">
        <v>45753</v>
      </c>
      <c r="B502" t="inlineStr">
        <is>
          <t>ING-109</t>
        </is>
      </c>
      <c r="C502" t="n">
        <v>7.5</v>
      </c>
      <c r="D502" t="inlineStr">
        <is>
          <t>Expiring</t>
        </is>
      </c>
      <c r="E502" t="inlineStr">
        <is>
          <t>Yes</t>
        </is>
      </c>
      <c r="F502" t="inlineStr">
        <is>
          <t>Freeze (req)</t>
        </is>
      </c>
      <c r="G502" s="13">
        <f>IFERROR(VLOOKUP(B502, 'Price Data'!A:D, 3, FALSE) * VLOOKUP(B502, 'Price Data'!A:D, 4, FALSE) * C502, "")</f>
        <v/>
      </c>
    </row>
    <row r="503">
      <c r="A503" s="3" t="n">
        <v>45753</v>
      </c>
      <c r="B503" t="inlineStr">
        <is>
          <t>ING-140</t>
        </is>
      </c>
      <c r="C503" t="n">
        <v>0.5</v>
      </c>
      <c r="D503" t="inlineStr">
        <is>
          <t>Expiring</t>
        </is>
      </c>
      <c r="E503" t="inlineStr">
        <is>
          <t>No</t>
        </is>
      </c>
      <c r="F503" t="inlineStr">
        <is>
          <t>Minimal Utility</t>
        </is>
      </c>
      <c r="G503" s="13">
        <f>IFERROR(VLOOKUP(B503, 'Price Data'!A:D, 3, FALSE) * VLOOKUP(B503, 'Price Data'!A:D, 4, FALSE) * C503, "")</f>
        <v/>
      </c>
    </row>
    <row r="504">
      <c r="A504" s="3" t="n">
        <v>45753</v>
      </c>
      <c r="B504" t="inlineStr">
        <is>
          <t>ING-163</t>
        </is>
      </c>
      <c r="C504" t="n">
        <v>1</v>
      </c>
      <c r="D504" t="inlineStr">
        <is>
          <t>Expiring</t>
        </is>
      </c>
      <c r="E504" t="inlineStr">
        <is>
          <t>Weak Maybe</t>
        </is>
      </c>
      <c r="F504" t="inlineStr">
        <is>
          <t>Temp. logs req.</t>
        </is>
      </c>
      <c r="G504" s="13">
        <f>IFERROR(VLOOKUP(B504, 'Price Data'!A:D, 3, FALSE) * VLOOKUP(B504, 'Price Data'!A:D, 4, FALSE) * C504, "")</f>
        <v/>
      </c>
    </row>
    <row r="505">
      <c r="A505" s="3" t="n">
        <v>45753</v>
      </c>
      <c r="B505" t="inlineStr">
        <is>
          <t>ING-033</t>
        </is>
      </c>
      <c r="C505" t="n">
        <v>4</v>
      </c>
      <c r="D505" t="inlineStr">
        <is>
          <t>Expiring</t>
        </is>
      </c>
      <c r="E505" t="inlineStr">
        <is>
          <t>No</t>
        </is>
      </c>
      <c r="F505" t="inlineStr">
        <is>
          <t>Cut produce | No tamper-proof seal</t>
        </is>
      </c>
      <c r="G505" s="13">
        <f>IFERROR(VLOOKUP(B505, 'Price Data'!A:D, 3, FALSE) * VLOOKUP(B505, 'Price Data'!A:D, 4, FALSE) * C505, "")</f>
        <v/>
      </c>
    </row>
    <row r="506">
      <c r="A506" s="3" t="n">
        <v>45753</v>
      </c>
      <c r="B506" t="inlineStr">
        <is>
          <t>ING-105</t>
        </is>
      </c>
      <c r="C506" t="n">
        <v>1</v>
      </c>
      <c r="D506" t="inlineStr">
        <is>
          <t>Hot Hold</t>
        </is>
      </c>
      <c r="E506" t="inlineStr">
        <is>
          <t>Weak Maybe</t>
        </is>
      </c>
      <c r="F506" t="inlineStr">
        <is>
          <t>Temp. logs req. | Minimal Utility</t>
        </is>
      </c>
      <c r="G506" s="13">
        <f>IFERROR(VLOOKUP(B506, 'Price Data'!A:D, 3, FALSE) * VLOOKUP(B506, 'Price Data'!A:D, 4, FALSE) * C506, "")</f>
        <v/>
      </c>
    </row>
    <row r="507">
      <c r="A507" s="3" t="n">
        <v>45753</v>
      </c>
      <c r="B507" t="inlineStr">
        <is>
          <t>ING-106</t>
        </is>
      </c>
      <c r="C507" t="n">
        <v>8</v>
      </c>
      <c r="D507" t="inlineStr">
        <is>
          <t>Expiring</t>
        </is>
      </c>
      <c r="E507" t="inlineStr">
        <is>
          <t>Maybe</t>
        </is>
      </c>
      <c r="F507" t="inlineStr">
        <is>
          <t>As is</t>
        </is>
      </c>
      <c r="G507" s="13">
        <f>IFERROR(VLOOKUP(B507, 'Price Data'!A:D, 3, FALSE) * VLOOKUP(B507, 'Price Data'!A:D, 4, FALSE) * C507, "")</f>
        <v/>
      </c>
    </row>
    <row r="508">
      <c r="A508" s="3" t="n">
        <v>45754</v>
      </c>
      <c r="B508" t="inlineStr">
        <is>
          <t>ING-146</t>
        </is>
      </c>
      <c r="C508" t="n">
        <v>1</v>
      </c>
      <c r="D508" t="inlineStr">
        <is>
          <t>Hot Hold</t>
        </is>
      </c>
      <c r="E508" t="inlineStr">
        <is>
          <t>Weak Maybe</t>
        </is>
      </c>
      <c r="F508" t="inlineStr">
        <is>
          <t>Temp. logs req.</t>
        </is>
      </c>
      <c r="G508" s="13">
        <f>IFERROR(VLOOKUP(B508, 'Price Data'!A:D, 3, FALSE) * VLOOKUP(B508, 'Price Data'!A:D, 4, FALSE) * C508, "")</f>
        <v/>
      </c>
    </row>
    <row r="509">
      <c r="A509" s="3" t="n">
        <v>45754</v>
      </c>
      <c r="B509" t="inlineStr">
        <is>
          <t>ING-089</t>
        </is>
      </c>
      <c r="C509" t="n">
        <v>1</v>
      </c>
      <c r="D509" t="inlineStr">
        <is>
          <t>Expiring</t>
        </is>
      </c>
      <c r="E509" t="inlineStr">
        <is>
          <t>Yes</t>
        </is>
      </c>
      <c r="F509" s="2" t="inlineStr">
        <is>
          <t>Freeze (req)</t>
        </is>
      </c>
      <c r="G509" s="13">
        <f>IFERROR(VLOOKUP(B509, 'Price Data'!A:D, 3, FALSE) * VLOOKUP(B509, 'Price Data'!A:D, 4, FALSE) * C509, "")</f>
        <v/>
      </c>
    </row>
    <row r="510">
      <c r="A510" s="3" t="n">
        <v>45754</v>
      </c>
      <c r="B510" t="inlineStr">
        <is>
          <t>ING-182</t>
        </is>
      </c>
      <c r="C510" t="n">
        <v>3</v>
      </c>
      <c r="D510" t="inlineStr">
        <is>
          <t>Expiring</t>
        </is>
      </c>
      <c r="E510" t="inlineStr">
        <is>
          <t>Weak Maybe</t>
        </is>
      </c>
      <c r="F510" t="inlineStr">
        <is>
          <t>Cut produce</t>
        </is>
      </c>
      <c r="G510" s="13">
        <f>IFERROR(VLOOKUP(B510, 'Price Data'!A:D, 3, FALSE) * VLOOKUP(B510, 'Price Data'!A:D, 4, FALSE) * C510, "")</f>
        <v/>
      </c>
    </row>
    <row r="511">
      <c r="A511" s="3" t="n">
        <v>45754</v>
      </c>
      <c r="B511" t="inlineStr">
        <is>
          <t>ING-108</t>
        </is>
      </c>
      <c r="C511" t="n">
        <v>0.5</v>
      </c>
      <c r="D511" t="inlineStr">
        <is>
          <t>Expiring</t>
        </is>
      </c>
      <c r="E511" t="inlineStr">
        <is>
          <t>No</t>
        </is>
      </c>
      <c r="F511" t="inlineStr">
        <is>
          <t>No tamper-proof seal | No Date</t>
        </is>
      </c>
      <c r="G511" s="13">
        <f>IFERROR(VLOOKUP(B511, 'Price Data'!A:D, 3, FALSE) * VLOOKUP(B511, 'Price Data'!A:D, 4, FALSE) * C511, "")</f>
        <v/>
      </c>
    </row>
    <row r="512">
      <c r="A512" s="3" t="n">
        <v>45754</v>
      </c>
      <c r="B512" t="inlineStr">
        <is>
          <t>ING-061</t>
        </is>
      </c>
      <c r="C512" t="n">
        <v>1</v>
      </c>
      <c r="D512" t="inlineStr">
        <is>
          <t>Hot Hold</t>
        </is>
      </c>
      <c r="E512" t="inlineStr">
        <is>
          <t>Maybe</t>
        </is>
      </c>
      <c r="F512" t="inlineStr">
        <is>
          <t>Temp. logs req.</t>
        </is>
      </c>
      <c r="G512" s="13">
        <f>IFERROR(VLOOKUP(B512, 'Price Data'!A:D, 3, FALSE) * VLOOKUP(B512, 'Price Data'!A:D, 4, FALSE) * C512, "")</f>
        <v/>
      </c>
    </row>
    <row r="513">
      <c r="A513" s="3" t="n">
        <v>45754</v>
      </c>
      <c r="B513" t="inlineStr">
        <is>
          <t>ING-127</t>
        </is>
      </c>
      <c r="C513" t="n">
        <v>1</v>
      </c>
      <c r="D513" t="inlineStr">
        <is>
          <t>Expiring</t>
        </is>
      </c>
      <c r="E513" t="inlineStr">
        <is>
          <t>Yes</t>
        </is>
      </c>
      <c r="F513" t="inlineStr">
        <is>
          <t>Freeze (req)</t>
        </is>
      </c>
      <c r="G513" s="13">
        <f>IFERROR(VLOOKUP(B513, 'Price Data'!A:D, 3, FALSE) * VLOOKUP(B513, 'Price Data'!A:D, 4, FALSE) * C513, "")</f>
        <v/>
      </c>
    </row>
    <row r="514">
      <c r="A514" s="3" t="n">
        <v>45754</v>
      </c>
      <c r="B514" t="inlineStr">
        <is>
          <t>ING-082</t>
        </is>
      </c>
      <c r="C514" s="5" t="n">
        <v>0.5</v>
      </c>
      <c r="D514" t="inlineStr">
        <is>
          <t>Expiring</t>
        </is>
      </c>
      <c r="E514" t="inlineStr">
        <is>
          <t>No</t>
        </is>
      </c>
      <c r="F514" s="5" t="inlineStr">
        <is>
          <t>Minimal Utility</t>
        </is>
      </c>
      <c r="G514" s="13">
        <f>IFERROR(VLOOKUP(B514, 'Price Data'!A:D, 3, FALSE) * VLOOKUP(B514, 'Price Data'!A:D, 4, FALSE) * C514, "")</f>
        <v/>
      </c>
    </row>
    <row r="515">
      <c r="A515" s="3" t="n">
        <v>45754</v>
      </c>
      <c r="B515" t="inlineStr">
        <is>
          <t>ING-010</t>
        </is>
      </c>
      <c r="C515" t="n">
        <v>1</v>
      </c>
      <c r="D515" t="inlineStr">
        <is>
          <t>DISCARDED</t>
        </is>
      </c>
      <c r="E515" t="inlineStr">
        <is>
          <t>No</t>
        </is>
      </c>
      <c r="F515" t="inlineStr">
        <is>
          <t>DISCARDED</t>
        </is>
      </c>
      <c r="G515" s="13">
        <f>IFERROR(VLOOKUP(B515, 'Price Data'!A:D, 3, FALSE) * VLOOKUP(B515, 'Price Data'!A:D, 4, FALSE) * C515, "")</f>
        <v/>
      </c>
    </row>
    <row r="516">
      <c r="A516" s="3" t="n">
        <v>45754</v>
      </c>
      <c r="B516" t="inlineStr">
        <is>
          <t>ING-157</t>
        </is>
      </c>
      <c r="C516" t="n">
        <v>1</v>
      </c>
      <c r="D516" t="inlineStr">
        <is>
          <t>DISCARDED</t>
        </is>
      </c>
      <c r="E516" t="inlineStr">
        <is>
          <t>No</t>
        </is>
      </c>
      <c r="F516" t="inlineStr">
        <is>
          <t>DISCARDED</t>
        </is>
      </c>
      <c r="G516" s="13">
        <f>IFERROR(VLOOKUP(B516, 'Price Data'!A:D, 3, FALSE) * VLOOKUP(B516, 'Price Data'!A:D, 4, FALSE) * C516, "")</f>
        <v/>
      </c>
    </row>
    <row r="517">
      <c r="A517" s="3" t="n">
        <v>45754</v>
      </c>
      <c r="B517" t="inlineStr">
        <is>
          <t>ING-142</t>
        </is>
      </c>
      <c r="C517" t="n">
        <v>1</v>
      </c>
      <c r="D517" t="inlineStr">
        <is>
          <t>Expiring</t>
        </is>
      </c>
      <c r="E517" t="inlineStr">
        <is>
          <t>Yes</t>
        </is>
      </c>
      <c r="F517" t="inlineStr">
        <is>
          <t>Freeze (req)</t>
        </is>
      </c>
      <c r="G517" s="13">
        <f>IFERROR(VLOOKUP(B517, 'Price Data'!A:D, 3, FALSE) * VLOOKUP(B517, 'Price Data'!A:D, 4, FALSE) * C517, "")</f>
        <v/>
      </c>
    </row>
    <row r="518">
      <c r="A518" s="3" t="n">
        <v>45754</v>
      </c>
      <c r="B518" t="inlineStr">
        <is>
          <t>ING-172</t>
        </is>
      </c>
      <c r="C518" t="n">
        <v>1.5</v>
      </c>
      <c r="D518" t="inlineStr">
        <is>
          <t>Expiring</t>
        </is>
      </c>
      <c r="E518" t="inlineStr">
        <is>
          <t>Yes</t>
        </is>
      </c>
      <c r="F518" t="inlineStr">
        <is>
          <t>Freeze (rec)</t>
        </is>
      </c>
      <c r="G518" s="13">
        <f>IFERROR(VLOOKUP(B518, 'Price Data'!A:D, 3, FALSE) * VLOOKUP(B518, 'Price Data'!A:D, 4, FALSE) * C518, "")</f>
        <v/>
      </c>
    </row>
    <row r="519">
      <c r="A519" s="3" t="n">
        <v>45754</v>
      </c>
      <c r="B519" t="inlineStr">
        <is>
          <t>ING-007</t>
        </is>
      </c>
      <c r="C519" t="n">
        <v>1</v>
      </c>
      <c r="D519" t="inlineStr">
        <is>
          <t>Expiring</t>
        </is>
      </c>
      <c r="E519" t="inlineStr">
        <is>
          <t>Yes</t>
        </is>
      </c>
      <c r="F519" s="2" t="inlineStr">
        <is>
          <t>Freeze (req)</t>
        </is>
      </c>
      <c r="G519" s="13">
        <f>IFERROR(VLOOKUP(B519, 'Price Data'!A:D, 3, FALSE) * VLOOKUP(B519, 'Price Data'!A:D, 4, FALSE) * C519, "")</f>
        <v/>
      </c>
    </row>
    <row r="520">
      <c r="A520" s="3" t="n">
        <v>45754</v>
      </c>
      <c r="B520" t="inlineStr">
        <is>
          <t>ING-029</t>
        </is>
      </c>
      <c r="C520" t="n">
        <v>8</v>
      </c>
      <c r="D520" t="inlineStr">
        <is>
          <t>Expiring</t>
        </is>
      </c>
      <c r="E520" t="inlineStr">
        <is>
          <t>Yes</t>
        </is>
      </c>
      <c r="F520" t="inlineStr">
        <is>
          <t>Freeze (req)</t>
        </is>
      </c>
      <c r="G520" s="13">
        <f>IFERROR(VLOOKUP(B520, 'Price Data'!A:D, 3, FALSE) * VLOOKUP(B520, 'Price Data'!A:D, 4, FALSE) * C520, "")</f>
        <v/>
      </c>
    </row>
    <row r="521">
      <c r="A521" s="3" t="n">
        <v>45754</v>
      </c>
      <c r="B521" t="inlineStr">
        <is>
          <t>ING-076</t>
        </is>
      </c>
      <c r="C521" t="n">
        <v>0.5</v>
      </c>
      <c r="D521" t="inlineStr">
        <is>
          <t>Hot Hold</t>
        </is>
      </c>
      <c r="E521" t="inlineStr">
        <is>
          <t>Weak Maybe</t>
        </is>
      </c>
      <c r="F521" s="2" t="inlineStr">
        <is>
          <t>Temp. logs req.</t>
        </is>
      </c>
      <c r="G521" s="13">
        <f>IFERROR(VLOOKUP(B521, 'Price Data'!A:D, 3, FALSE) * VLOOKUP(B521, 'Price Data'!A:D, 4, FALSE) * C521, "")</f>
        <v/>
      </c>
    </row>
    <row r="522">
      <c r="A522" s="3" t="n">
        <v>45754</v>
      </c>
      <c r="B522" t="inlineStr">
        <is>
          <t>ING-128</t>
        </is>
      </c>
      <c r="C522" t="n">
        <v>7</v>
      </c>
      <c r="D522" t="inlineStr">
        <is>
          <t>Expiring</t>
        </is>
      </c>
      <c r="E522" t="inlineStr">
        <is>
          <t>Weak Maybe</t>
        </is>
      </c>
      <c r="F522" s="2" t="inlineStr">
        <is>
          <t>Cut produce</t>
        </is>
      </c>
      <c r="G522" s="13">
        <f>IFERROR(VLOOKUP(B522, 'Price Data'!A:D, 3, FALSE) * VLOOKUP(B522, 'Price Data'!A:D, 4, FALSE) * C522, "")</f>
        <v/>
      </c>
    </row>
    <row r="523">
      <c r="A523" s="1" t="n">
        <v>45754</v>
      </c>
      <c r="B523" t="inlineStr">
        <is>
          <t>ING-068</t>
        </is>
      </c>
      <c r="C523" t="n">
        <v>1</v>
      </c>
      <c r="D523" t="inlineStr">
        <is>
          <t>Hot Hold</t>
        </is>
      </c>
      <c r="E523" t="inlineStr">
        <is>
          <t>Maybe</t>
        </is>
      </c>
      <c r="F523" t="inlineStr">
        <is>
          <t>Temp. logs req.</t>
        </is>
      </c>
      <c r="G523" s="13">
        <f>IFERROR(VLOOKUP(B523, 'Price Data'!A:D, 3, FALSE) * VLOOKUP(B523, 'Price Data'!A:D, 4, FALSE) * C523, "")</f>
        <v/>
      </c>
    </row>
    <row r="524">
      <c r="A524" s="1" t="n">
        <v>45754</v>
      </c>
      <c r="B524" t="inlineStr">
        <is>
          <t>ING-158</t>
        </is>
      </c>
      <c r="C524" t="n">
        <v>1</v>
      </c>
      <c r="D524" t="inlineStr">
        <is>
          <t>Expiring</t>
        </is>
      </c>
      <c r="E524" t="inlineStr">
        <is>
          <t>Strong Maybe</t>
        </is>
      </c>
      <c r="F524" t="inlineStr">
        <is>
          <t>Freeze (req) | Seafood</t>
        </is>
      </c>
      <c r="G524" s="13">
        <f>IFERROR(VLOOKUP(B524, 'Price Data'!A:D, 3, FALSE) * VLOOKUP(B524, 'Price Data'!A:D, 4, FALSE) * C524, "")</f>
        <v/>
      </c>
    </row>
    <row r="525">
      <c r="A525" s="1" t="n">
        <v>45754</v>
      </c>
      <c r="B525" t="inlineStr">
        <is>
          <t>ING-111</t>
        </is>
      </c>
      <c r="C525" t="n">
        <v>1.5</v>
      </c>
      <c r="D525" t="inlineStr">
        <is>
          <t>Hot Hold</t>
        </is>
      </c>
      <c r="E525" t="inlineStr">
        <is>
          <t>Yes</t>
        </is>
      </c>
      <c r="F525" t="inlineStr">
        <is>
          <t>Freeze (rec)</t>
        </is>
      </c>
      <c r="G525" s="13">
        <f>IFERROR(VLOOKUP(B525, 'Price Data'!A:D, 3, FALSE) * VLOOKUP(B525, 'Price Data'!A:D, 4, FALSE) * C525, "")</f>
        <v/>
      </c>
    </row>
    <row r="526">
      <c r="A526" s="1" t="n">
        <v>45754</v>
      </c>
      <c r="B526" t="inlineStr">
        <is>
          <t>ING-136</t>
        </is>
      </c>
      <c r="C526" t="n">
        <v>3.5</v>
      </c>
      <c r="D526" t="inlineStr">
        <is>
          <t>Expiring</t>
        </is>
      </c>
      <c r="E526" t="inlineStr">
        <is>
          <t>Yes</t>
        </is>
      </c>
      <c r="F526" t="inlineStr">
        <is>
          <t>As is</t>
        </is>
      </c>
      <c r="G526" s="13">
        <f>IFERROR(VLOOKUP(B526, 'Price Data'!A:D, 3, FALSE) * VLOOKUP(B526, 'Price Data'!A:D, 4, FALSE) * C526, "")</f>
        <v/>
      </c>
    </row>
    <row r="527">
      <c r="A527" s="1" t="n">
        <v>45754</v>
      </c>
      <c r="B527" t="inlineStr">
        <is>
          <t>ING-049</t>
        </is>
      </c>
      <c r="C527" t="n">
        <v>1</v>
      </c>
      <c r="D527" t="inlineStr">
        <is>
          <t>Hot Hold</t>
        </is>
      </c>
      <c r="E527" t="inlineStr">
        <is>
          <t>No</t>
        </is>
      </c>
      <c r="F527" s="2" t="inlineStr">
        <is>
          <t>Minimal Utility</t>
        </is>
      </c>
      <c r="G527" s="13">
        <f>IFERROR(VLOOKUP(B527, 'Price Data'!A:D, 3, FALSE) * VLOOKUP(B527, 'Price Data'!A:D, 4, FALSE) * C527, "")</f>
        <v/>
      </c>
    </row>
    <row r="528">
      <c r="A528" s="1" t="n">
        <v>45754</v>
      </c>
      <c r="B528" t="inlineStr">
        <is>
          <t>ING-097</t>
        </is>
      </c>
      <c r="C528" t="n">
        <v>1.5</v>
      </c>
      <c r="D528" t="inlineStr">
        <is>
          <t>Hot Hold</t>
        </is>
      </c>
      <c r="E528" t="inlineStr">
        <is>
          <t>Weak Maybe</t>
        </is>
      </c>
      <c r="F528" t="inlineStr">
        <is>
          <t>Temp. logs req. | Minimal Utility</t>
        </is>
      </c>
      <c r="G528" s="13">
        <f>IFERROR(VLOOKUP(B528, 'Price Data'!A:D, 3, FALSE) * VLOOKUP(B528, 'Price Data'!A:D, 4, FALSE) * C528, "")</f>
        <v/>
      </c>
    </row>
    <row r="529">
      <c r="A529" s="1" t="n">
        <v>45754</v>
      </c>
      <c r="B529" t="inlineStr">
        <is>
          <t>ING-021</t>
        </is>
      </c>
      <c r="C529" t="n">
        <v>2</v>
      </c>
      <c r="D529" t="inlineStr">
        <is>
          <t>Hot Hold</t>
        </is>
      </c>
      <c r="E529" t="inlineStr">
        <is>
          <t>Maybe</t>
        </is>
      </c>
      <c r="F529" t="inlineStr">
        <is>
          <t>Temp. logs req.</t>
        </is>
      </c>
      <c r="G529" s="13">
        <f>IFERROR(VLOOKUP(B529, 'Price Data'!A:D, 3, FALSE) * VLOOKUP(B529, 'Price Data'!A:D, 4, FALSE) * C529, "")</f>
        <v/>
      </c>
    </row>
    <row r="530">
      <c r="A530" s="1" t="n">
        <v>45754</v>
      </c>
      <c r="B530" t="inlineStr">
        <is>
          <t>ING-132</t>
        </is>
      </c>
      <c r="C530" t="n">
        <v>1</v>
      </c>
      <c r="D530" t="inlineStr">
        <is>
          <t>Expiring</t>
        </is>
      </c>
      <c r="E530" t="inlineStr">
        <is>
          <t>Yes</t>
        </is>
      </c>
      <c r="F530" t="inlineStr">
        <is>
          <t>As is</t>
        </is>
      </c>
      <c r="G530" s="13">
        <f>IFERROR(VLOOKUP(B530, 'Price Data'!A:D, 3, FALSE) * VLOOKUP(B530, 'Price Data'!A:D, 4, FALSE) * C530, "")</f>
        <v/>
      </c>
    </row>
    <row r="531">
      <c r="A531" s="1" t="n">
        <v>45754</v>
      </c>
      <c r="B531" t="inlineStr">
        <is>
          <t>ING-021</t>
        </is>
      </c>
      <c r="C531" t="n">
        <v>1</v>
      </c>
      <c r="D531" t="inlineStr">
        <is>
          <t>Hot Hold</t>
        </is>
      </c>
      <c r="E531" t="inlineStr">
        <is>
          <t>Maybe</t>
        </is>
      </c>
      <c r="F531" t="inlineStr">
        <is>
          <t>Temp. logs req.</t>
        </is>
      </c>
      <c r="G531" s="13">
        <f>IFERROR(VLOOKUP(B531, 'Price Data'!A:D, 3, FALSE) * VLOOKUP(B531, 'Price Data'!A:D, 4, FALSE) * C531, "")</f>
        <v/>
      </c>
    </row>
    <row r="532">
      <c r="A532" s="1" t="n">
        <v>45754</v>
      </c>
      <c r="B532" t="inlineStr">
        <is>
          <t>ING-031</t>
        </is>
      </c>
      <c r="C532" t="n">
        <v>1</v>
      </c>
      <c r="D532" t="inlineStr">
        <is>
          <t>Expiring</t>
        </is>
      </c>
      <c r="E532" t="inlineStr">
        <is>
          <t>Weak Maybe</t>
        </is>
      </c>
      <c r="F532" s="2" t="inlineStr">
        <is>
          <t>No tamper-proof seal</t>
        </is>
      </c>
      <c r="G532" s="13">
        <f>IFERROR(VLOOKUP(B532, 'Price Data'!A:D, 3, FALSE) * VLOOKUP(B532, 'Price Data'!A:D, 4, FALSE) * C532, "")</f>
        <v/>
      </c>
    </row>
    <row r="533">
      <c r="A533" s="1" t="n">
        <v>45755</v>
      </c>
      <c r="B533" t="inlineStr">
        <is>
          <t>ING-016</t>
        </is>
      </c>
      <c r="C533" t="n">
        <v>4</v>
      </c>
      <c r="D533" t="inlineStr">
        <is>
          <t>Expiring</t>
        </is>
      </c>
      <c r="E533" t="inlineStr">
        <is>
          <t>Strong Maybe</t>
        </is>
      </c>
      <c r="F533" t="inlineStr">
        <is>
          <t>Freeze (req) | Seafood</t>
        </is>
      </c>
      <c r="G533" s="13">
        <f>IFERROR(VLOOKUP(B533, 'Price Data'!A:D, 3, FALSE) * VLOOKUP(B533, 'Price Data'!A:D, 4, FALSE) * C533, "")</f>
        <v/>
      </c>
    </row>
    <row r="534">
      <c r="A534" s="1" t="n">
        <v>45755</v>
      </c>
      <c r="B534" t="inlineStr">
        <is>
          <t>ING-095</t>
        </is>
      </c>
      <c r="C534" t="n">
        <v>1.5</v>
      </c>
      <c r="D534" t="inlineStr">
        <is>
          <t>Expiring</t>
        </is>
      </c>
      <c r="E534" t="inlineStr">
        <is>
          <t>Yes</t>
        </is>
      </c>
      <c r="F534" t="inlineStr">
        <is>
          <t xml:space="preserve">Freeze (req) </t>
        </is>
      </c>
      <c r="G534" s="13">
        <f>IFERROR(VLOOKUP(B534, 'Price Data'!A:D, 3, FALSE) * VLOOKUP(B534, 'Price Data'!A:D, 4, FALSE) * C534, "")</f>
        <v/>
      </c>
    </row>
    <row r="535">
      <c r="A535" s="1" t="n">
        <v>45755</v>
      </c>
      <c r="B535" t="inlineStr">
        <is>
          <t>ING-098</t>
        </is>
      </c>
      <c r="C535" t="n">
        <v>1.5</v>
      </c>
      <c r="D535" t="inlineStr">
        <is>
          <t>Expiring</t>
        </is>
      </c>
      <c r="E535" t="inlineStr">
        <is>
          <t>Maybe</t>
        </is>
      </c>
      <c r="F535" t="inlineStr">
        <is>
          <t>No tamper-proof seal, Freeze (req)</t>
        </is>
      </c>
      <c r="G535" s="13" t="n"/>
    </row>
    <row r="536">
      <c r="A536" s="1" t="n">
        <v>45755</v>
      </c>
      <c r="B536" t="inlineStr">
        <is>
          <t>ING-137</t>
        </is>
      </c>
      <c r="C536" t="n">
        <v>0.5</v>
      </c>
      <c r="D536" t="inlineStr">
        <is>
          <t>Expiring</t>
        </is>
      </c>
      <c r="E536" t="inlineStr">
        <is>
          <t>Yes</t>
        </is>
      </c>
      <c r="F536" t="inlineStr">
        <is>
          <t>Freeze (req)</t>
        </is>
      </c>
      <c r="G536" s="13">
        <f>IFERROR(VLOOKUP(B536, 'Price Data'!A:D, 3, FALSE) * VLOOKUP(B536, 'Price Data'!A:D, 4, FALSE) * C536, "")</f>
        <v/>
      </c>
    </row>
    <row r="537">
      <c r="A537" s="1" t="n">
        <v>45755</v>
      </c>
      <c r="B537" t="inlineStr">
        <is>
          <t>ING-029</t>
        </is>
      </c>
      <c r="C537" t="n">
        <v>6</v>
      </c>
      <c r="D537" t="inlineStr">
        <is>
          <t>Expiring</t>
        </is>
      </c>
      <c r="E537" t="inlineStr">
        <is>
          <t>Yes</t>
        </is>
      </c>
      <c r="F537" t="inlineStr">
        <is>
          <t xml:space="preserve">Freeze (rec) </t>
        </is>
      </c>
      <c r="G537" s="13">
        <f>IFERROR(VLOOKUP(B537, 'Price Data'!A:D, 3, FALSE) * VLOOKUP(B537, 'Price Data'!A:D, 4, FALSE) * C537, "")</f>
        <v/>
      </c>
    </row>
    <row r="538">
      <c r="A538" s="1" t="n">
        <v>45755</v>
      </c>
      <c r="B538" t="inlineStr">
        <is>
          <t>ING-163</t>
        </is>
      </c>
      <c r="C538" t="n">
        <v>1.5</v>
      </c>
      <c r="D538" t="inlineStr">
        <is>
          <t>Hot Hold</t>
        </is>
      </c>
      <c r="E538" t="inlineStr">
        <is>
          <t>Weak Maybe</t>
        </is>
      </c>
      <c r="F538" s="2" t="inlineStr">
        <is>
          <t>Temp. logs req.</t>
        </is>
      </c>
      <c r="G538" s="13">
        <f>IFERROR(VLOOKUP(B538, 'Price Data'!A:D, 3, FALSE) * VLOOKUP(B538, 'Price Data'!A:D, 4, FALSE) * C538, "")</f>
        <v/>
      </c>
    </row>
    <row r="539">
      <c r="A539" s="1" t="n">
        <v>45755</v>
      </c>
      <c r="B539" t="inlineStr">
        <is>
          <t>ING-048</t>
        </is>
      </c>
      <c r="C539" t="n">
        <v>1</v>
      </c>
      <c r="D539" t="inlineStr">
        <is>
          <t>Expiring</t>
        </is>
      </c>
      <c r="E539" t="inlineStr">
        <is>
          <t>No</t>
        </is>
      </c>
      <c r="F539" t="inlineStr">
        <is>
          <t>No tamper-proof seal</t>
        </is>
      </c>
      <c r="G539" s="13">
        <f>IFERROR(VLOOKUP(B539, 'Price Data'!A:D, 3, FALSE) * VLOOKUP(B539, 'Price Data'!A:D, 4, FALSE) * C539, "")</f>
        <v/>
      </c>
    </row>
    <row r="540">
      <c r="A540" s="1" t="n">
        <v>45755</v>
      </c>
      <c r="B540" t="inlineStr">
        <is>
          <t>ING-057</t>
        </is>
      </c>
      <c r="C540" t="n">
        <v>1</v>
      </c>
      <c r="D540" t="inlineStr">
        <is>
          <t>Expiring</t>
        </is>
      </c>
      <c r="E540" t="inlineStr">
        <is>
          <t>Weak Maybe</t>
        </is>
      </c>
      <c r="F540" t="inlineStr">
        <is>
          <t>Cut produce | No tamper-proof seal</t>
        </is>
      </c>
      <c r="G540" s="13">
        <f>IFERROR(VLOOKUP(B540, 'Price Data'!A:D, 3, FALSE) * VLOOKUP(B540, 'Price Data'!A:D, 4, FALSE) * C540, "")</f>
        <v/>
      </c>
    </row>
    <row r="541">
      <c r="A541" s="1" t="n">
        <v>45755</v>
      </c>
      <c r="B541" t="inlineStr">
        <is>
          <t>ING-105</t>
        </is>
      </c>
      <c r="C541" t="n">
        <v>2.5</v>
      </c>
      <c r="D541" t="inlineStr">
        <is>
          <t>Hot Hold</t>
        </is>
      </c>
      <c r="E541" t="inlineStr">
        <is>
          <t>Weak Maybe</t>
        </is>
      </c>
      <c r="F541" s="2" t="inlineStr">
        <is>
          <t>Temp. logs req. | Minimal Utility</t>
        </is>
      </c>
      <c r="G541" s="13">
        <f>IFERROR(VLOOKUP(B541, 'Price Data'!A:D, 3, FALSE) * VLOOKUP(B541, 'Price Data'!A:D, 4, FALSE) * C541, "")</f>
        <v/>
      </c>
    </row>
    <row r="542">
      <c r="A542" s="1" t="n">
        <v>45755</v>
      </c>
      <c r="B542" t="inlineStr">
        <is>
          <t>ING-020</t>
        </is>
      </c>
      <c r="C542" t="n">
        <v>2.5</v>
      </c>
      <c r="D542" t="inlineStr">
        <is>
          <t>Expiring</t>
        </is>
      </c>
      <c r="E542" t="inlineStr">
        <is>
          <t>Maybe</t>
        </is>
      </c>
      <c r="F542" t="inlineStr">
        <is>
          <t>As is | Minimal Utility</t>
        </is>
      </c>
      <c r="G542" s="13">
        <f>IFERROR(VLOOKUP(B542, 'Price Data'!A:D, 3, FALSE) * VLOOKUP(B542, 'Price Data'!A:D, 4, FALSE) * C542, "")</f>
        <v/>
      </c>
    </row>
    <row r="543">
      <c r="A543" s="1" t="n">
        <v>45755</v>
      </c>
      <c r="B543" t="inlineStr">
        <is>
          <t>ING-056</t>
        </is>
      </c>
      <c r="C543" t="n">
        <v>1.5</v>
      </c>
      <c r="D543" t="inlineStr">
        <is>
          <t>Hot Hold</t>
        </is>
      </c>
      <c r="E543" t="inlineStr">
        <is>
          <t>No</t>
        </is>
      </c>
      <c r="F543" t="inlineStr">
        <is>
          <t>Temp. logs req. | Cooked produce | Minimal Utility</t>
        </is>
      </c>
      <c r="G543" s="13">
        <f>IFERROR(VLOOKUP(B543, 'Price Data'!A:D, 3, FALSE) * VLOOKUP(B543, 'Price Data'!A:D, 4, FALSE) * C543, "")</f>
        <v/>
      </c>
    </row>
    <row r="544">
      <c r="A544" s="1" t="n">
        <v>45755</v>
      </c>
      <c r="B544" t="inlineStr">
        <is>
          <t>ING-137</t>
        </is>
      </c>
      <c r="C544" t="n">
        <v>2.5</v>
      </c>
      <c r="D544" t="inlineStr">
        <is>
          <t>Expiring</t>
        </is>
      </c>
      <c r="E544" t="inlineStr">
        <is>
          <t>Yes</t>
        </is>
      </c>
      <c r="F544" t="inlineStr">
        <is>
          <t>Freeze (req)</t>
        </is>
      </c>
      <c r="G544" s="13">
        <f>IFERROR(VLOOKUP(B544, 'Price Data'!A:D, 3, FALSE) * VLOOKUP(B544, 'Price Data'!A:D, 4, FALSE) * C544, "")</f>
        <v/>
      </c>
    </row>
    <row r="545">
      <c r="A545" s="1" t="n">
        <v>45755</v>
      </c>
      <c r="B545" t="inlineStr">
        <is>
          <t>ING-097</t>
        </is>
      </c>
      <c r="C545" t="n">
        <v>5</v>
      </c>
      <c r="D545" t="inlineStr">
        <is>
          <t>Hot Hold</t>
        </is>
      </c>
      <c r="E545" t="inlineStr">
        <is>
          <t>Weak Maybe</t>
        </is>
      </c>
      <c r="F545" t="inlineStr">
        <is>
          <t>Temp. logs req. | Minimal Utility</t>
        </is>
      </c>
      <c r="G545" s="13">
        <f>IFERROR(VLOOKUP(B545, 'Price Data'!A:D, 3, FALSE) * VLOOKUP(B545, 'Price Data'!A:D, 4, FALSE) * C545, "")</f>
        <v/>
      </c>
    </row>
    <row r="546">
      <c r="A546" s="1" t="n">
        <v>45755</v>
      </c>
      <c r="B546" t="inlineStr">
        <is>
          <t>ING-168</t>
        </is>
      </c>
      <c r="C546" t="n">
        <v>6</v>
      </c>
      <c r="D546" t="inlineStr">
        <is>
          <t>Expiring</t>
        </is>
      </c>
      <c r="E546" t="inlineStr">
        <is>
          <t>Maybe</t>
        </is>
      </c>
      <c r="F546" s="5" t="inlineStr">
        <is>
          <t>Minimal Utility</t>
        </is>
      </c>
      <c r="G546" s="13">
        <f>IFERROR(VLOOKUP(B546, 'Price Data'!A:D, 3, FALSE) * VLOOKUP(B546, 'Price Data'!A:D, 4, FALSE) * C546, "")</f>
        <v/>
      </c>
    </row>
    <row r="547">
      <c r="A547" s="1" t="n">
        <v>45755</v>
      </c>
      <c r="B547" t="inlineStr">
        <is>
          <t>ING-021</t>
        </is>
      </c>
      <c r="C547" t="n">
        <v>1</v>
      </c>
      <c r="D547" t="inlineStr">
        <is>
          <t>Hot Hold</t>
        </is>
      </c>
      <c r="E547" t="inlineStr">
        <is>
          <t>Maybe</t>
        </is>
      </c>
      <c r="F547" t="inlineStr">
        <is>
          <t>Temp. logs req.</t>
        </is>
      </c>
      <c r="G547" s="13">
        <f>IFERROR(VLOOKUP(B547, 'Price Data'!A:D, 3, FALSE) * VLOOKUP(B547, 'Price Data'!A:D, 4, FALSE) * C547, "")</f>
        <v/>
      </c>
    </row>
    <row r="548">
      <c r="A548" s="1" t="n">
        <v>45755</v>
      </c>
      <c r="B548" t="inlineStr">
        <is>
          <t>ING-041</t>
        </is>
      </c>
      <c r="C548" t="n">
        <v>2.5</v>
      </c>
      <c r="D548" t="inlineStr">
        <is>
          <t>Hot Hold</t>
        </is>
      </c>
      <c r="E548" t="inlineStr">
        <is>
          <t>Weak Maybe</t>
        </is>
      </c>
      <c r="F548" s="2" t="inlineStr">
        <is>
          <t>Temp. logs req.</t>
        </is>
      </c>
      <c r="G548" s="13">
        <f>IFERROR(VLOOKUP(B548, 'Price Data'!A:D, 3, FALSE) * VLOOKUP(B548, 'Price Data'!A:D, 4, FALSE) * C548, "")</f>
        <v/>
      </c>
    </row>
    <row r="549">
      <c r="A549" s="1" t="n">
        <v>45755</v>
      </c>
      <c r="B549" t="inlineStr">
        <is>
          <t>ING-021</t>
        </is>
      </c>
      <c r="C549" t="n">
        <v>1</v>
      </c>
      <c r="D549" t="inlineStr">
        <is>
          <t>Hot Hold</t>
        </is>
      </c>
      <c r="E549" t="inlineStr">
        <is>
          <t>Maybe</t>
        </is>
      </c>
      <c r="F549" t="inlineStr">
        <is>
          <t>Temp. logs req.</t>
        </is>
      </c>
      <c r="G549" s="13">
        <f>IFERROR(VLOOKUP(B549, 'Price Data'!A:D, 3, FALSE) * VLOOKUP(B549, 'Price Data'!A:D, 4, FALSE) * C549, "")</f>
        <v/>
      </c>
    </row>
    <row r="550">
      <c r="A550" s="1" t="n">
        <v>45755</v>
      </c>
      <c r="B550" t="inlineStr">
        <is>
          <t>ING-091</t>
        </is>
      </c>
      <c r="C550" t="n">
        <v>4.5</v>
      </c>
      <c r="D550" t="inlineStr">
        <is>
          <t>Expiring</t>
        </is>
      </c>
      <c r="E550" t="inlineStr">
        <is>
          <t>Yes</t>
        </is>
      </c>
      <c r="F550" t="inlineStr">
        <is>
          <t>Freeze (req)</t>
        </is>
      </c>
      <c r="G550" s="13">
        <f>IFERROR(VLOOKUP(B550, 'Price Data'!A:D, 3, FALSE) * VLOOKUP(B550, 'Price Data'!A:D, 4, FALSE) * C550, "")</f>
        <v/>
      </c>
    </row>
    <row r="551">
      <c r="A551" s="1" t="n">
        <v>45755</v>
      </c>
      <c r="B551" t="inlineStr">
        <is>
          <t>ING-163</t>
        </is>
      </c>
      <c r="C551" t="n">
        <v>3</v>
      </c>
      <c r="D551" t="inlineStr">
        <is>
          <t>Hot Hold</t>
        </is>
      </c>
      <c r="E551" t="inlineStr">
        <is>
          <t>Weak Maybe</t>
        </is>
      </c>
      <c r="F551" t="inlineStr">
        <is>
          <t>Temp. logs req.</t>
        </is>
      </c>
      <c r="G551" s="13">
        <f>IFERROR(VLOOKUP(B551, 'Price Data'!A:D, 3, FALSE) * VLOOKUP(B551, 'Price Data'!A:D, 4, FALSE) * C551, "")</f>
        <v/>
      </c>
    </row>
    <row r="552">
      <c r="A552" s="1" t="n">
        <v>45755</v>
      </c>
      <c r="B552" t="inlineStr">
        <is>
          <t>ING-074</t>
        </is>
      </c>
      <c r="C552" t="n">
        <v>0.5</v>
      </c>
      <c r="D552" t="inlineStr">
        <is>
          <t>Expiring</t>
        </is>
      </c>
      <c r="E552" t="inlineStr">
        <is>
          <t>No</t>
        </is>
      </c>
      <c r="F552" t="inlineStr">
        <is>
          <t>Freeze (req), No tamper-proof seal</t>
        </is>
      </c>
      <c r="G552" s="13">
        <f>IFERROR(VLOOKUP(B552, 'Price Data'!A:D, 3, FALSE) * VLOOKUP(B552, 'Price Data'!A:D, 4, FALSE) * C552, "")</f>
        <v/>
      </c>
    </row>
    <row r="553">
      <c r="A553" s="1" t="n">
        <v>45755</v>
      </c>
      <c r="B553" t="inlineStr">
        <is>
          <t>ING-168</t>
        </is>
      </c>
      <c r="C553" t="n">
        <v>1.5</v>
      </c>
      <c r="D553" t="inlineStr">
        <is>
          <t>Expiring</t>
        </is>
      </c>
      <c r="E553" t="inlineStr">
        <is>
          <t>Maybe</t>
        </is>
      </c>
      <c r="F553" t="inlineStr">
        <is>
          <t>Minimal Utility</t>
        </is>
      </c>
      <c r="G553" s="13">
        <f>IFERROR(VLOOKUP(B553, 'Price Data'!A:D, 3, FALSE) * VLOOKUP(B553, 'Price Data'!A:D, 4, FALSE) * C553, "")</f>
        <v/>
      </c>
    </row>
    <row r="554">
      <c r="A554" s="1" t="n">
        <v>45755</v>
      </c>
      <c r="B554" t="inlineStr">
        <is>
          <t>ING-157</t>
        </is>
      </c>
      <c r="C554" t="n">
        <v>1</v>
      </c>
      <c r="D554" t="inlineStr">
        <is>
          <t>Hot Hold</t>
        </is>
      </c>
      <c r="E554" t="inlineStr">
        <is>
          <t>Maybe</t>
        </is>
      </c>
      <c r="F554" s="2" t="inlineStr">
        <is>
          <t>Temp. logs req.</t>
        </is>
      </c>
      <c r="G554" s="13">
        <f>IFERROR(VLOOKUP(B554, 'Price Data'!A:D, 3, FALSE) * VLOOKUP(B554, 'Price Data'!A:D, 4, FALSE) * C554, "")</f>
        <v/>
      </c>
    </row>
    <row r="555">
      <c r="A555" s="1" t="n">
        <v>45755</v>
      </c>
      <c r="B555" t="inlineStr">
        <is>
          <t>ING-136</t>
        </is>
      </c>
      <c r="C555" t="n">
        <v>4</v>
      </c>
      <c r="D555" t="inlineStr">
        <is>
          <t>Expiring</t>
        </is>
      </c>
      <c r="E555" t="inlineStr">
        <is>
          <t>Yes</t>
        </is>
      </c>
      <c r="F555" t="inlineStr">
        <is>
          <t>As is</t>
        </is>
      </c>
      <c r="G555" s="13">
        <f>IFERROR(VLOOKUP(B555, 'Price Data'!A:D, 3, FALSE) * VLOOKUP(B555, 'Price Data'!A:D, 4, FALSE) * C555, "")</f>
        <v/>
      </c>
    </row>
    <row r="556">
      <c r="A556" s="1" t="n">
        <v>45755</v>
      </c>
      <c r="B556" t="inlineStr">
        <is>
          <t>ING-062</t>
        </is>
      </c>
      <c r="C556" t="n">
        <v>4</v>
      </c>
      <c r="D556" t="inlineStr">
        <is>
          <t>Expiring</t>
        </is>
      </c>
      <c r="E556" t="inlineStr">
        <is>
          <t>Yes</t>
        </is>
      </c>
      <c r="F556" s="2" t="inlineStr">
        <is>
          <t>Freeze (req)</t>
        </is>
      </c>
      <c r="G556" s="13">
        <f>IFERROR(VLOOKUP(B556, 'Price Data'!A:D, 3, FALSE) * VLOOKUP(B556, 'Price Data'!A:D, 4, FALSE) * C556, "")</f>
        <v/>
      </c>
    </row>
    <row r="557">
      <c r="A557" s="1" t="n">
        <v>45755</v>
      </c>
      <c r="B557" t="inlineStr">
        <is>
          <t>ING-157</t>
        </is>
      </c>
      <c r="C557" t="n">
        <v>29</v>
      </c>
      <c r="D557" t="inlineStr">
        <is>
          <t>Expiring</t>
        </is>
      </c>
      <c r="E557" t="inlineStr">
        <is>
          <t>Yes</t>
        </is>
      </c>
      <c r="F557" t="inlineStr">
        <is>
          <t>As is</t>
        </is>
      </c>
      <c r="G557" s="13">
        <f>IFERROR(VLOOKUP(B557, 'Price Data'!A:D, 3, FALSE) * VLOOKUP(B557, 'Price Data'!A:D, 4, FALSE) * C557, "")</f>
        <v/>
      </c>
    </row>
    <row r="558">
      <c r="A558" s="1" t="n">
        <v>45755</v>
      </c>
      <c r="B558" t="inlineStr">
        <is>
          <t>ING-034</t>
        </is>
      </c>
      <c r="C558" t="n">
        <v>2</v>
      </c>
      <c r="D558" t="inlineStr">
        <is>
          <t>Expiring</t>
        </is>
      </c>
      <c r="E558" t="inlineStr">
        <is>
          <t>Yes</t>
        </is>
      </c>
      <c r="F558" t="inlineStr">
        <is>
          <t>As is</t>
        </is>
      </c>
      <c r="G558" s="13">
        <f>IFERROR(VLOOKUP(B558, 'Price Data'!A:D, 3, FALSE) * VLOOKUP(B558, 'Price Data'!A:D, 4, FALSE) * C558, "")</f>
        <v/>
      </c>
    </row>
    <row r="559">
      <c r="A559" s="1" t="n">
        <v>45756</v>
      </c>
      <c r="B559" t="inlineStr">
        <is>
          <t>ING-154</t>
        </is>
      </c>
      <c r="C559" t="n">
        <v>6.5</v>
      </c>
      <c r="D559" t="inlineStr">
        <is>
          <t>Expiring</t>
        </is>
      </c>
      <c r="E559" t="inlineStr">
        <is>
          <t>Maybe</t>
        </is>
      </c>
      <c r="F559" s="5" t="n"/>
      <c r="G559" s="13">
        <f>IFERROR(VLOOKUP(B559, 'Price Data'!A:D, 3, FALSE) * VLOOKUP(B559, 'Price Data'!A:D, 4, FALSE) * C559, "")</f>
        <v/>
      </c>
    </row>
    <row r="560">
      <c r="A560" s="1" t="n">
        <v>45756</v>
      </c>
      <c r="B560" t="inlineStr">
        <is>
          <t>ING-136</t>
        </is>
      </c>
      <c r="C560" t="n">
        <v>1</v>
      </c>
      <c r="D560" t="inlineStr">
        <is>
          <t>Expiring</t>
        </is>
      </c>
      <c r="E560" t="inlineStr">
        <is>
          <t>Yes</t>
        </is>
      </c>
      <c r="F560" t="inlineStr">
        <is>
          <t>As is</t>
        </is>
      </c>
      <c r="G560" s="13">
        <f>IFERROR(VLOOKUP(B560, 'Price Data'!A:D, 3, FALSE) * VLOOKUP(B560, 'Price Data'!A:D, 4, FALSE) * C560, "")</f>
        <v/>
      </c>
    </row>
    <row r="561">
      <c r="A561" s="1" t="n">
        <v>45756</v>
      </c>
      <c r="B561" t="inlineStr">
        <is>
          <t>ING-106</t>
        </is>
      </c>
      <c r="C561" t="n">
        <v>1.5</v>
      </c>
      <c r="D561" t="inlineStr">
        <is>
          <t>Expiring</t>
        </is>
      </c>
      <c r="E561" t="inlineStr">
        <is>
          <t>Maybe</t>
        </is>
      </c>
      <c r="F561" t="inlineStr">
        <is>
          <t>Temp. logs req.</t>
        </is>
      </c>
      <c r="G561" s="13">
        <f>IFERROR(VLOOKUP(B561, 'Price Data'!A:D, 3, FALSE) * VLOOKUP(B561, 'Price Data'!A:D, 4, FALSE) * C561, "")</f>
        <v/>
      </c>
    </row>
    <row r="562">
      <c r="A562" s="1" t="n">
        <v>45756</v>
      </c>
      <c r="B562" t="inlineStr">
        <is>
          <t>ING-131</t>
        </is>
      </c>
      <c r="C562" t="n">
        <v>0.5</v>
      </c>
      <c r="D562" t="inlineStr">
        <is>
          <t>Expiring</t>
        </is>
      </c>
      <c r="E562" t="inlineStr">
        <is>
          <t>No</t>
        </is>
      </c>
      <c r="F562" s="2" t="inlineStr">
        <is>
          <t xml:space="preserve">No tamper-proof seal, </t>
        </is>
      </c>
      <c r="G562" s="13">
        <f>IFERROR(VLOOKUP(B562, 'Price Data'!A:D, 3, FALSE) * VLOOKUP(B562, 'Price Data'!A:D, 4, FALSE) * C562, "")</f>
        <v/>
      </c>
    </row>
    <row r="563">
      <c r="A563" s="1" t="n">
        <v>45756</v>
      </c>
      <c r="B563" t="inlineStr">
        <is>
          <t>ING-140</t>
        </is>
      </c>
      <c r="C563" t="n">
        <v>0.5</v>
      </c>
      <c r="D563" t="inlineStr">
        <is>
          <t>Expiring</t>
        </is>
      </c>
      <c r="E563" t="inlineStr">
        <is>
          <t>No</t>
        </is>
      </c>
      <c r="F563" s="2" t="inlineStr">
        <is>
          <t>Minimal Utility | No tamper-proof seal</t>
        </is>
      </c>
      <c r="G563" s="13">
        <f>IFERROR(VLOOKUP(B563, 'Price Data'!A:D, 3, FALSE) * VLOOKUP(B563, 'Price Data'!A:D, 4, FALSE) * C563, "")</f>
        <v/>
      </c>
    </row>
    <row r="564">
      <c r="A564" s="1" t="n">
        <v>45756</v>
      </c>
      <c r="B564" t="inlineStr">
        <is>
          <t>ING-128</t>
        </is>
      </c>
      <c r="C564" t="n">
        <v>1.5</v>
      </c>
      <c r="D564" t="inlineStr">
        <is>
          <t>Hot Hold</t>
        </is>
      </c>
      <c r="E564" t="inlineStr">
        <is>
          <t>No</t>
        </is>
      </c>
      <c r="F564" t="inlineStr">
        <is>
          <t>Temp. logs req., Cut produce</t>
        </is>
      </c>
      <c r="G564" s="13">
        <f>IFERROR(VLOOKUP(B564, 'Price Data'!A:D, 3, FALSE) * VLOOKUP(B564, 'Price Data'!A:D, 4, FALSE) * C564, "")</f>
        <v/>
      </c>
    </row>
    <row r="565">
      <c r="A565" s="1" t="n">
        <v>45756</v>
      </c>
      <c r="B565" t="inlineStr">
        <is>
          <t>ING-076</t>
        </is>
      </c>
      <c r="C565" t="n">
        <v>0.5</v>
      </c>
      <c r="D565" t="inlineStr">
        <is>
          <t>Hot Hold</t>
        </is>
      </c>
      <c r="E565" t="inlineStr">
        <is>
          <t>Weak Maybe</t>
        </is>
      </c>
      <c r="F565" s="2" t="inlineStr">
        <is>
          <t>Temp. logs req.</t>
        </is>
      </c>
      <c r="G565" s="13">
        <f>IFERROR(VLOOKUP(B565, 'Price Data'!A:D, 3, FALSE) * VLOOKUP(B565, 'Price Data'!A:D, 4, FALSE) * C565, "")</f>
        <v/>
      </c>
    </row>
    <row r="566">
      <c r="A566" s="1" t="n">
        <v>45756</v>
      </c>
      <c r="B566" t="inlineStr">
        <is>
          <t>ING-132</t>
        </is>
      </c>
      <c r="C566" t="n">
        <v>6</v>
      </c>
      <c r="D566" t="inlineStr">
        <is>
          <t>Expiring</t>
        </is>
      </c>
      <c r="E566" t="inlineStr">
        <is>
          <t>Yes</t>
        </is>
      </c>
      <c r="F566" s="2" t="inlineStr">
        <is>
          <t>As is</t>
        </is>
      </c>
      <c r="G566" s="13">
        <f>IFERROR(VLOOKUP(B566, 'Price Data'!A:D, 3, FALSE) * VLOOKUP(B566, 'Price Data'!A:D, 4, FALSE) * C566, "")</f>
        <v/>
      </c>
    </row>
    <row r="567">
      <c r="A567" s="1" t="n">
        <v>45756</v>
      </c>
      <c r="B567" t="inlineStr">
        <is>
          <t>ING-108</t>
        </is>
      </c>
      <c r="C567" t="n">
        <v>0.5</v>
      </c>
      <c r="D567" t="inlineStr">
        <is>
          <t>Expiring</t>
        </is>
      </c>
      <c r="E567" t="inlineStr">
        <is>
          <t>No</t>
        </is>
      </c>
      <c r="F567" t="inlineStr">
        <is>
          <t>No tamper-proof seal | No Date</t>
        </is>
      </c>
      <c r="G567" s="13">
        <f>IFERROR(VLOOKUP(B567, 'Price Data'!A:D, 3, FALSE) * VLOOKUP(B567, 'Price Data'!A:D, 4, FALSE) * C567, "")</f>
        <v/>
      </c>
    </row>
    <row r="568">
      <c r="A568" s="1" t="n">
        <v>45756</v>
      </c>
      <c r="B568" t="inlineStr">
        <is>
          <t>ING-162</t>
        </is>
      </c>
      <c r="C568" t="n">
        <v>3</v>
      </c>
      <c r="D568" t="inlineStr">
        <is>
          <t>Expiring</t>
        </is>
      </c>
      <c r="E568" t="inlineStr">
        <is>
          <t>Yes</t>
        </is>
      </c>
      <c r="F568" t="inlineStr">
        <is>
          <t>As is</t>
        </is>
      </c>
      <c r="G568" s="13">
        <f>IFERROR(VLOOKUP(B568, 'Price Data'!A:D, 3, FALSE) * VLOOKUP(B568, 'Price Data'!A:D, 4, FALSE) * C568, "")</f>
        <v/>
      </c>
    </row>
    <row r="569">
      <c r="A569" s="1" t="n">
        <v>45756</v>
      </c>
      <c r="B569" t="inlineStr">
        <is>
          <t>ING-132</t>
        </is>
      </c>
      <c r="C569" t="n">
        <v>1.5</v>
      </c>
      <c r="D569" t="inlineStr">
        <is>
          <t>Expiring</t>
        </is>
      </c>
      <c r="E569" t="inlineStr">
        <is>
          <t>Yes</t>
        </is>
      </c>
      <c r="F569" t="inlineStr">
        <is>
          <t>As is</t>
        </is>
      </c>
      <c r="G569" s="13">
        <f>IFERROR(VLOOKUP(B569, 'Price Data'!A:D, 3, FALSE) * VLOOKUP(B569, 'Price Data'!A:D, 4, FALSE) * C569, "")</f>
        <v/>
      </c>
    </row>
    <row r="570">
      <c r="A570" s="1" t="n">
        <v>45756</v>
      </c>
      <c r="B570" t="inlineStr">
        <is>
          <t>ING-020</t>
        </is>
      </c>
      <c r="C570" t="n">
        <v>1.5</v>
      </c>
      <c r="D570" t="inlineStr">
        <is>
          <t>Expiring</t>
        </is>
      </c>
      <c r="E570" t="inlineStr">
        <is>
          <t>Maybe</t>
        </is>
      </c>
      <c r="F570" t="inlineStr">
        <is>
          <t>As is | Minimal Utility</t>
        </is>
      </c>
      <c r="G570" s="13">
        <f>IFERROR(VLOOKUP(B570, 'Price Data'!A:D, 3, FALSE) * VLOOKUP(B570, 'Price Data'!A:D, 4, FALSE) * C570, "")</f>
        <v/>
      </c>
    </row>
    <row r="571">
      <c r="A571" s="1" t="n">
        <v>45756</v>
      </c>
      <c r="B571" t="inlineStr">
        <is>
          <t>ING-145</t>
        </is>
      </c>
      <c r="C571" t="n">
        <v>4.5</v>
      </c>
      <c r="D571" t="inlineStr">
        <is>
          <t>Expiring</t>
        </is>
      </c>
      <c r="E571" t="inlineStr">
        <is>
          <t>Yes</t>
        </is>
      </c>
      <c r="F571" t="inlineStr">
        <is>
          <t>Freeze (req)</t>
        </is>
      </c>
      <c r="G571" s="13">
        <f>IFERROR(VLOOKUP(B571, 'Price Data'!A:D, 3, FALSE) * VLOOKUP(B571, 'Price Data'!A:D, 4, FALSE) * C571, "")</f>
        <v/>
      </c>
    </row>
    <row r="572">
      <c r="A572" s="1" t="n">
        <v>45756</v>
      </c>
      <c r="B572" t="inlineStr">
        <is>
          <t>ING-042</t>
        </is>
      </c>
      <c r="C572" t="n">
        <v>0.5</v>
      </c>
      <c r="D572" t="inlineStr">
        <is>
          <t>Expiring</t>
        </is>
      </c>
      <c r="E572" t="inlineStr">
        <is>
          <t>No</t>
        </is>
      </c>
      <c r="F572" t="inlineStr">
        <is>
          <t>Minimal Utility</t>
        </is>
      </c>
      <c r="G572" s="13">
        <f>IFERROR(VLOOKUP(B572, 'Price Data'!A:D, 3, FALSE) * VLOOKUP(B572, 'Price Data'!A:D, 4, FALSE) * C572, "")</f>
        <v/>
      </c>
    </row>
    <row r="573">
      <c r="A573" s="1" t="n">
        <v>45756</v>
      </c>
      <c r="B573" t="inlineStr">
        <is>
          <t>ING-159</t>
        </is>
      </c>
      <c r="C573" t="n">
        <v>2</v>
      </c>
      <c r="D573" t="inlineStr">
        <is>
          <t>Hot Hold</t>
        </is>
      </c>
      <c r="E573" t="inlineStr">
        <is>
          <t>Maybe</t>
        </is>
      </c>
      <c r="F573" t="inlineStr">
        <is>
          <t>Temp. logs req.</t>
        </is>
      </c>
      <c r="G573" s="13">
        <f>IFERROR(VLOOKUP(B573, 'Price Data'!A:D, 3, FALSE) * VLOOKUP(B573, 'Price Data'!A:D, 4, FALSE) * C573, "")</f>
        <v/>
      </c>
    </row>
    <row r="574">
      <c r="A574" s="1" t="n">
        <v>45756</v>
      </c>
      <c r="B574" t="inlineStr">
        <is>
          <t>ING-066</t>
        </is>
      </c>
      <c r="C574" t="n">
        <v>0.5</v>
      </c>
      <c r="D574" t="inlineStr">
        <is>
          <t>DISCARDED</t>
        </is>
      </c>
      <c r="E574" t="inlineStr">
        <is>
          <t>No</t>
        </is>
      </c>
      <c r="F574" t="inlineStr">
        <is>
          <t>N/A</t>
        </is>
      </c>
      <c r="G574" s="13">
        <f>IFERROR(VLOOKUP(B574, 'Price Data'!A:D, 3, FALSE) * VLOOKUP(B574, 'Price Data'!A:D, 4, FALSE) * C574, "")</f>
        <v/>
      </c>
    </row>
    <row r="575">
      <c r="A575" s="1" t="n">
        <v>45756</v>
      </c>
      <c r="B575" t="inlineStr">
        <is>
          <t>ING-146</t>
        </is>
      </c>
      <c r="C575" t="n">
        <v>1</v>
      </c>
      <c r="D575" t="inlineStr">
        <is>
          <t>Hot Hold</t>
        </is>
      </c>
      <c r="E575" t="inlineStr">
        <is>
          <t>Weak Maybe</t>
        </is>
      </c>
      <c r="F575" t="inlineStr">
        <is>
          <t>Temp. logs req.</t>
        </is>
      </c>
      <c r="G575" s="13">
        <f>IFERROR(VLOOKUP(B575, 'Price Data'!A:D, 3, FALSE) * VLOOKUP(B575, 'Price Data'!A:D, 4, FALSE) * C575, "")</f>
        <v/>
      </c>
    </row>
    <row r="576">
      <c r="A576" s="1" t="n">
        <v>45756</v>
      </c>
      <c r="B576" t="inlineStr">
        <is>
          <t>ING-088</t>
        </is>
      </c>
      <c r="C576" t="n">
        <v>2</v>
      </c>
      <c r="D576" t="inlineStr">
        <is>
          <t>Expiring</t>
        </is>
      </c>
      <c r="E576" t="inlineStr">
        <is>
          <t>No</t>
        </is>
      </c>
      <c r="F576" t="inlineStr">
        <is>
          <t>Cut produce</t>
        </is>
      </c>
      <c r="G576" s="13">
        <f>IFERROR(VLOOKUP(B576, 'Price Data'!A:D, 3, FALSE) * VLOOKUP(B576, 'Price Data'!A:D, 4, FALSE) * C576, "")</f>
        <v/>
      </c>
    </row>
    <row r="577">
      <c r="A577" s="1" t="n">
        <v>45756</v>
      </c>
      <c r="B577" t="inlineStr">
        <is>
          <t>ING-034</t>
        </is>
      </c>
      <c r="C577" t="n">
        <v>4</v>
      </c>
      <c r="D577" t="inlineStr">
        <is>
          <t>Expiring</t>
        </is>
      </c>
      <c r="E577" t="inlineStr">
        <is>
          <t>Yes</t>
        </is>
      </c>
      <c r="F577" t="inlineStr">
        <is>
          <t>As is</t>
        </is>
      </c>
      <c r="G577" s="13">
        <f>IFERROR(VLOOKUP(B577, 'Price Data'!A:D, 3, FALSE) * VLOOKUP(B577, 'Price Data'!A:D, 4, FALSE) * C577, "")</f>
        <v/>
      </c>
    </row>
    <row r="578">
      <c r="A578" s="1" t="n">
        <v>45756</v>
      </c>
      <c r="B578" t="inlineStr">
        <is>
          <t>ING-163</t>
        </is>
      </c>
      <c r="C578" t="n">
        <v>0.5</v>
      </c>
      <c r="D578" t="inlineStr">
        <is>
          <t>Hot Hold</t>
        </is>
      </c>
      <c r="E578" t="inlineStr">
        <is>
          <t>Weak Maybe</t>
        </is>
      </c>
      <c r="F578" s="2" t="inlineStr">
        <is>
          <t>Temp. logs req.</t>
        </is>
      </c>
      <c r="G578" s="13">
        <f>IFERROR(VLOOKUP(B578, 'Price Data'!A:D, 3, FALSE) * VLOOKUP(B578, 'Price Data'!A:D, 4, FALSE) * C578, "")</f>
        <v/>
      </c>
    </row>
    <row r="579">
      <c r="A579" s="1" t="n">
        <v>45756</v>
      </c>
      <c r="B579" t="inlineStr">
        <is>
          <t>ING-100</t>
        </is>
      </c>
      <c r="C579" t="n">
        <v>1</v>
      </c>
      <c r="D579" t="inlineStr">
        <is>
          <t>Hot Hold</t>
        </is>
      </c>
      <c r="E579" t="inlineStr">
        <is>
          <t>Weak Maybe</t>
        </is>
      </c>
      <c r="F579" t="inlineStr">
        <is>
          <t>Temp. logs req.</t>
        </is>
      </c>
      <c r="G579" s="13">
        <f>IFERROR(VLOOKUP(B579, 'Price Data'!A:D, 3, FALSE) * VLOOKUP(B579, 'Price Data'!A:D, 4, FALSE) * C579, "")</f>
        <v/>
      </c>
    </row>
    <row r="580">
      <c r="A580" s="1" t="n">
        <v>45756</v>
      </c>
      <c r="B580" t="inlineStr">
        <is>
          <t>ING-089</t>
        </is>
      </c>
      <c r="C580" t="n">
        <v>3</v>
      </c>
      <c r="D580" t="inlineStr">
        <is>
          <t>Expiring</t>
        </is>
      </c>
      <c r="E580" t="inlineStr">
        <is>
          <t>Yes</t>
        </is>
      </c>
      <c r="F580" t="inlineStr">
        <is>
          <t>Freeze (req)</t>
        </is>
      </c>
      <c r="G580" s="13">
        <f>IFERROR(VLOOKUP(B580, 'Price Data'!A:D, 3, FALSE) * VLOOKUP(B580, 'Price Data'!A:D, 4, FALSE) * C580, "")</f>
        <v/>
      </c>
    </row>
    <row r="581">
      <c r="A581" s="1" t="n">
        <v>45756</v>
      </c>
      <c r="B581" t="inlineStr">
        <is>
          <t>ING-036</t>
        </is>
      </c>
      <c r="C581" t="n">
        <v>4</v>
      </c>
      <c r="D581" t="inlineStr">
        <is>
          <t>Expiring</t>
        </is>
      </c>
      <c r="E581" t="inlineStr">
        <is>
          <t>Strong Maybe</t>
        </is>
      </c>
      <c r="F581" t="inlineStr">
        <is>
          <t>Freeze (req) | Seafood</t>
        </is>
      </c>
      <c r="G581" s="13">
        <f>IFERROR(VLOOKUP(B581, 'Price Data'!A:D, 3, FALSE) * VLOOKUP(B581, 'Price Data'!A:D, 4, FALSE) * C581, "")</f>
        <v/>
      </c>
    </row>
    <row r="582">
      <c r="A582" s="1" t="n">
        <v>45756</v>
      </c>
      <c r="B582" t="inlineStr">
        <is>
          <t>ING-121</t>
        </is>
      </c>
      <c r="C582" t="n">
        <v>1</v>
      </c>
      <c r="D582" t="inlineStr">
        <is>
          <t>Expiring</t>
        </is>
      </c>
      <c r="E582" t="inlineStr">
        <is>
          <t>Maybe</t>
        </is>
      </c>
      <c r="F582" t="inlineStr">
        <is>
          <t>No tamper-proof seal</t>
        </is>
      </c>
      <c r="G582" s="13">
        <f>IFERROR(VLOOKUP(B582, 'Price Data'!A:D, 3, FALSE) * VLOOKUP(B582, 'Price Data'!A:D, 4, FALSE) * C582, "")</f>
        <v/>
      </c>
    </row>
    <row r="583">
      <c r="A583" s="1" t="n">
        <v>45756</v>
      </c>
      <c r="B583" t="inlineStr">
        <is>
          <t>ING-074</t>
        </is>
      </c>
      <c r="C583" t="n">
        <v>0.5</v>
      </c>
      <c r="D583" t="inlineStr">
        <is>
          <t>Expiring</t>
        </is>
      </c>
      <c r="E583" t="inlineStr">
        <is>
          <t>Strong Maybe</t>
        </is>
      </c>
      <c r="F583" t="inlineStr">
        <is>
          <t>Freeze (rec)</t>
        </is>
      </c>
      <c r="G583" s="13">
        <f>IFERROR(VLOOKUP(B583, 'Price Data'!A:D, 3, FALSE) * VLOOKUP(B583, 'Price Data'!A:D, 4, FALSE) * C583, "")</f>
        <v/>
      </c>
    </row>
    <row r="584">
      <c r="A584" s="1" t="n">
        <v>45756</v>
      </c>
      <c r="B584" t="inlineStr">
        <is>
          <t>ING-016</t>
        </is>
      </c>
      <c r="C584" t="n">
        <v>3.5</v>
      </c>
      <c r="D584" t="inlineStr">
        <is>
          <t>Expiring</t>
        </is>
      </c>
      <c r="E584" t="inlineStr">
        <is>
          <t>Strong Maybe</t>
        </is>
      </c>
      <c r="F584" t="inlineStr">
        <is>
          <t>Freeze (req) | Seafood</t>
        </is>
      </c>
      <c r="G584" s="13">
        <f>IFERROR(VLOOKUP(B584, 'Price Data'!A:D, 3, FALSE) * VLOOKUP(B584, 'Price Data'!A:D, 4, FALSE) * C584, "")</f>
        <v/>
      </c>
    </row>
    <row r="585">
      <c r="A585" s="1" t="n">
        <v>45757</v>
      </c>
      <c r="B585" t="inlineStr">
        <is>
          <t>ING-148</t>
        </is>
      </c>
      <c r="C585" t="n">
        <v>1</v>
      </c>
      <c r="D585" t="inlineStr">
        <is>
          <t>Hot Hold</t>
        </is>
      </c>
      <c r="E585" t="inlineStr">
        <is>
          <t>Maybe</t>
        </is>
      </c>
      <c r="F585" t="inlineStr">
        <is>
          <t>Temp. logs req.</t>
        </is>
      </c>
      <c r="G585" s="13">
        <f>IFERROR(VLOOKUP(B585, 'Price Data'!A:D, 3, FALSE) * VLOOKUP(B585, 'Price Data'!A:D, 4, FALSE) * C585, "")</f>
        <v/>
      </c>
    </row>
    <row r="586">
      <c r="A586" s="1" t="n">
        <v>45757</v>
      </c>
      <c r="B586" t="inlineStr">
        <is>
          <t>ING-132</t>
        </is>
      </c>
      <c r="C586" t="n">
        <v>11</v>
      </c>
      <c r="D586" t="inlineStr">
        <is>
          <t>Expiring</t>
        </is>
      </c>
      <c r="E586" t="inlineStr">
        <is>
          <t>Yes</t>
        </is>
      </c>
      <c r="F586" t="inlineStr">
        <is>
          <t>As is</t>
        </is>
      </c>
      <c r="G586" s="13">
        <f>IFERROR(VLOOKUP(B586, 'Price Data'!A:D, 3, FALSE) * VLOOKUP(B586, 'Price Data'!A:D, 4, FALSE) * C586, "")</f>
        <v/>
      </c>
    </row>
    <row r="587">
      <c r="A587" s="1" t="n">
        <v>45757</v>
      </c>
      <c r="B587" t="inlineStr">
        <is>
          <t>ING-072</t>
        </is>
      </c>
      <c r="C587" t="n">
        <v>1</v>
      </c>
      <c r="D587" t="inlineStr">
        <is>
          <t>Hot Hold</t>
        </is>
      </c>
      <c r="E587" t="inlineStr">
        <is>
          <t>Maybe</t>
        </is>
      </c>
      <c r="F587" t="inlineStr">
        <is>
          <t>Freeze (req)</t>
        </is>
      </c>
      <c r="G587" s="13">
        <f>IFERROR(VLOOKUP(B587, 'Price Data'!A:D, 3, FALSE) * VLOOKUP(B587, 'Price Data'!A:D, 4, FALSE) * C587, "")</f>
        <v/>
      </c>
    </row>
    <row r="588">
      <c r="A588" s="1" t="n">
        <v>45757</v>
      </c>
      <c r="B588" t="inlineStr">
        <is>
          <t>ING-061</t>
        </is>
      </c>
      <c r="C588" s="5" t="n">
        <v>1</v>
      </c>
      <c r="D588" t="inlineStr">
        <is>
          <t>Hot Hold</t>
        </is>
      </c>
      <c r="E588" t="inlineStr">
        <is>
          <t>Maybe</t>
        </is>
      </c>
      <c r="F588" s="5" t="inlineStr">
        <is>
          <t>Temp. logs req.</t>
        </is>
      </c>
      <c r="G588" s="13">
        <f>IFERROR(VLOOKUP(B588, 'Price Data'!A:D, 3, FALSE) * VLOOKUP(B588, 'Price Data'!A:D, 4, FALSE) * C588, "")</f>
        <v/>
      </c>
    </row>
    <row r="589">
      <c r="A589" s="1" t="n">
        <v>45757</v>
      </c>
      <c r="B589" t="inlineStr">
        <is>
          <t>ING-143</t>
        </is>
      </c>
      <c r="C589" t="n">
        <v>4</v>
      </c>
      <c r="D589" t="inlineStr">
        <is>
          <t>Expiring</t>
        </is>
      </c>
      <c r="E589" t="inlineStr">
        <is>
          <t>Weak Maybe</t>
        </is>
      </c>
      <c r="F589" t="inlineStr">
        <is>
          <t>Minimal Utility</t>
        </is>
      </c>
      <c r="G589" s="13">
        <f>IFERROR(VLOOKUP(B589, 'Price Data'!A:D, 3, FALSE) * VLOOKUP(B589, 'Price Data'!A:D, 4, FALSE) * C589, "")</f>
        <v/>
      </c>
    </row>
    <row r="590">
      <c r="A590" s="1" t="n">
        <v>45757</v>
      </c>
      <c r="B590" t="inlineStr">
        <is>
          <t>ING-063</t>
        </is>
      </c>
      <c r="C590" t="n">
        <v>1.5</v>
      </c>
      <c r="D590" t="inlineStr">
        <is>
          <t>Expiring</t>
        </is>
      </c>
      <c r="E590" t="inlineStr">
        <is>
          <t>Weak Maybe</t>
        </is>
      </c>
      <c r="F590" t="inlineStr">
        <is>
          <t>Cut Produce</t>
        </is>
      </c>
      <c r="G590" s="13">
        <f>IFERROR(VLOOKUP(B590, 'Price Data'!A:D, 3, FALSE) * VLOOKUP(B590, 'Price Data'!A:D, 4, FALSE) * C590, "")</f>
        <v/>
      </c>
    </row>
    <row r="591">
      <c r="A591" s="1" t="n">
        <v>45757</v>
      </c>
      <c r="B591" t="inlineStr">
        <is>
          <t>ING-125</t>
        </is>
      </c>
      <c r="C591" t="n">
        <v>1</v>
      </c>
      <c r="D591" t="inlineStr">
        <is>
          <t>Expiring</t>
        </is>
      </c>
      <c r="E591" t="inlineStr">
        <is>
          <t>Strong Maybe</t>
        </is>
      </c>
      <c r="F591" t="inlineStr">
        <is>
          <t>As is</t>
        </is>
      </c>
      <c r="G591" s="13">
        <f>IFERROR(VLOOKUP(B591, 'Price Data'!A:D, 3, FALSE) * VLOOKUP(B591, 'Price Data'!A:D, 4, FALSE) * C591, "")</f>
        <v/>
      </c>
    </row>
    <row r="592">
      <c r="A592" s="1" t="n">
        <v>45757</v>
      </c>
      <c r="B592" t="inlineStr">
        <is>
          <t>ING-156</t>
        </is>
      </c>
      <c r="C592" t="n">
        <v>0.5</v>
      </c>
      <c r="D592" t="inlineStr">
        <is>
          <t>Expiring</t>
        </is>
      </c>
      <c r="E592" t="inlineStr">
        <is>
          <t>Yes</t>
        </is>
      </c>
      <c r="F592" s="2" t="inlineStr">
        <is>
          <t>As is</t>
        </is>
      </c>
      <c r="G592" s="13">
        <f>IFERROR(VLOOKUP(B592, 'Price Data'!A:D, 3, FALSE) * VLOOKUP(B592, 'Price Data'!A:D, 4, FALSE) * C592, "")</f>
        <v/>
      </c>
    </row>
    <row r="593">
      <c r="A593" s="1" t="n">
        <v>45757</v>
      </c>
      <c r="B593" t="inlineStr">
        <is>
          <t>ING-033</t>
        </is>
      </c>
      <c r="C593" t="n">
        <v>1.5</v>
      </c>
      <c r="D593" t="inlineStr">
        <is>
          <t>Expiring</t>
        </is>
      </c>
      <c r="E593" t="inlineStr">
        <is>
          <t>No</t>
        </is>
      </c>
      <c r="F593" s="2" t="inlineStr">
        <is>
          <t>Cut produce | No tamper-proof seal</t>
        </is>
      </c>
      <c r="G593" s="13">
        <f>IFERROR(VLOOKUP(B593, 'Price Data'!A:D, 3, FALSE) * VLOOKUP(B593, 'Price Data'!A:D, 4, FALSE) * C593, "")</f>
        <v/>
      </c>
    </row>
    <row r="594">
      <c r="A594" s="1" t="n">
        <v>45757</v>
      </c>
      <c r="B594" t="inlineStr">
        <is>
          <t>ING-109</t>
        </is>
      </c>
      <c r="C594" t="n">
        <v>1.5</v>
      </c>
      <c r="D594" t="inlineStr">
        <is>
          <t>Expiring</t>
        </is>
      </c>
      <c r="E594" t="inlineStr">
        <is>
          <t>Yes</t>
        </is>
      </c>
      <c r="F594" t="inlineStr">
        <is>
          <t>Freeze (req)</t>
        </is>
      </c>
      <c r="G594" s="13">
        <f>IFERROR(VLOOKUP(B594, 'Price Data'!A:D, 3, FALSE) * VLOOKUP(B594, 'Price Data'!A:D, 4, FALSE) * C594, "")</f>
        <v/>
      </c>
    </row>
    <row r="595">
      <c r="A595" s="1" t="n">
        <v>45757</v>
      </c>
      <c r="B595" t="inlineStr">
        <is>
          <t>ING-055</t>
        </is>
      </c>
      <c r="C595" t="n">
        <v>1.5</v>
      </c>
      <c r="D595" t="inlineStr">
        <is>
          <t>Expiring</t>
        </is>
      </c>
      <c r="E595" t="inlineStr">
        <is>
          <t>Yes</t>
        </is>
      </c>
      <c r="F595" t="inlineStr">
        <is>
          <t xml:space="preserve">Freeze (rec) </t>
        </is>
      </c>
      <c r="G595" s="13">
        <f>IFERROR(VLOOKUP(B595, 'Price Data'!A:D, 3, FALSE) * VLOOKUP(B595, 'Price Data'!A:D, 4, FALSE) * C595, "")</f>
        <v/>
      </c>
    </row>
    <row r="596">
      <c r="A596" s="1" t="n">
        <v>45757</v>
      </c>
      <c r="B596" t="inlineStr">
        <is>
          <t>ING-107</t>
        </is>
      </c>
      <c r="C596" t="n">
        <v>3</v>
      </c>
      <c r="D596" t="inlineStr">
        <is>
          <t>Expiring</t>
        </is>
      </c>
      <c r="E596" t="inlineStr">
        <is>
          <t>Yes</t>
        </is>
      </c>
      <c r="F596" t="inlineStr">
        <is>
          <t>Freeze (req)</t>
        </is>
      </c>
      <c r="G596" s="13">
        <f>IFERROR(VLOOKUP(B596, 'Price Data'!A:D, 3, FALSE) * VLOOKUP(B596, 'Price Data'!A:D, 4, FALSE) * C596, "")</f>
        <v/>
      </c>
    </row>
    <row r="597">
      <c r="A597" s="1" t="n">
        <v>45757</v>
      </c>
      <c r="B597" t="inlineStr">
        <is>
          <t>ING-019</t>
        </is>
      </c>
      <c r="C597" t="n">
        <v>1</v>
      </c>
      <c r="D597" t="inlineStr">
        <is>
          <t>Expiring</t>
        </is>
      </c>
      <c r="E597" t="inlineStr">
        <is>
          <t>No</t>
        </is>
      </c>
      <c r="F597" t="inlineStr">
        <is>
          <t>Freeze (req), No tamper-proof seal</t>
        </is>
      </c>
      <c r="G597" s="13">
        <f>IFERROR(VLOOKUP(B597, 'Price Data'!A:D, 3, FALSE) * VLOOKUP(B597, 'Price Data'!A:D, 4, FALSE) * C597, "")</f>
        <v/>
      </c>
    </row>
    <row r="598">
      <c r="A598" s="1" t="n">
        <v>45757</v>
      </c>
      <c r="B598" t="inlineStr">
        <is>
          <t>ING-142</t>
        </is>
      </c>
      <c r="C598" t="n">
        <v>1</v>
      </c>
      <c r="D598" t="inlineStr">
        <is>
          <t>Expiring</t>
        </is>
      </c>
      <c r="E598" t="inlineStr">
        <is>
          <t>Yes</t>
        </is>
      </c>
      <c r="F598" t="inlineStr">
        <is>
          <t>Freeze (req)</t>
        </is>
      </c>
      <c r="G598" s="13">
        <f>IFERROR(VLOOKUP(B598, 'Price Data'!A:D, 3, FALSE) * VLOOKUP(B598, 'Price Data'!A:D, 4, FALSE) * C598, "")</f>
        <v/>
      </c>
    </row>
    <row r="599">
      <c r="A599" s="1" t="n">
        <v>45757</v>
      </c>
      <c r="B599" t="inlineStr">
        <is>
          <t>ING-068</t>
        </is>
      </c>
      <c r="C599" t="n">
        <v>1</v>
      </c>
      <c r="D599" t="inlineStr">
        <is>
          <t>Hot Hold</t>
        </is>
      </c>
      <c r="E599" t="inlineStr">
        <is>
          <t>Maybe</t>
        </is>
      </c>
      <c r="F599" t="inlineStr">
        <is>
          <t>Temp. logs req.</t>
        </is>
      </c>
      <c r="G599" s="13">
        <f>IFERROR(VLOOKUP(B599, 'Price Data'!A:D, 3, FALSE) * VLOOKUP(B599, 'Price Data'!A:D, 4, FALSE) * C599, "")</f>
        <v/>
      </c>
    </row>
    <row r="600">
      <c r="A600" s="1" t="n">
        <v>45757</v>
      </c>
      <c r="B600" t="inlineStr">
        <is>
          <t>ING-076</t>
        </is>
      </c>
      <c r="C600" t="n">
        <v>1.5</v>
      </c>
      <c r="D600" t="inlineStr">
        <is>
          <t>Hot Hold</t>
        </is>
      </c>
      <c r="E600" t="inlineStr">
        <is>
          <t>Weak Maybe</t>
        </is>
      </c>
      <c r="F600" s="2" t="inlineStr">
        <is>
          <t>Temp. logs req.</t>
        </is>
      </c>
      <c r="G600" s="13">
        <f>IFERROR(VLOOKUP(B600, 'Price Data'!A:D, 3, FALSE) * VLOOKUP(B600, 'Price Data'!A:D, 4, FALSE) * C600, "")</f>
        <v/>
      </c>
    </row>
    <row r="601">
      <c r="A601" s="1" t="n">
        <v>45757</v>
      </c>
      <c r="B601" t="inlineStr">
        <is>
          <t>ING-020</t>
        </is>
      </c>
      <c r="C601" t="n">
        <v>1</v>
      </c>
      <c r="D601" t="inlineStr">
        <is>
          <t>Expiring</t>
        </is>
      </c>
      <c r="E601" t="inlineStr">
        <is>
          <t>Maybe</t>
        </is>
      </c>
      <c r="F601" t="inlineStr">
        <is>
          <t>As is | Minimal Utility</t>
        </is>
      </c>
      <c r="G601" s="13">
        <f>IFERROR(VLOOKUP(B601, 'Price Data'!A:D, 3, FALSE) * VLOOKUP(B601, 'Price Data'!A:D, 4, FALSE) * C601, "")</f>
        <v/>
      </c>
    </row>
    <row r="602">
      <c r="A602" s="1" t="n">
        <v>45757</v>
      </c>
      <c r="B602" t="inlineStr">
        <is>
          <t>ING-036</t>
        </is>
      </c>
      <c r="C602" t="n">
        <v>1</v>
      </c>
      <c r="D602" t="inlineStr">
        <is>
          <t>Expiring</t>
        </is>
      </c>
      <c r="E602" t="inlineStr">
        <is>
          <t>Strong Maybe</t>
        </is>
      </c>
      <c r="F602" t="inlineStr">
        <is>
          <t>Freeze (req) | Seafood</t>
        </is>
      </c>
      <c r="G602" s="13">
        <f>IFERROR(VLOOKUP(B602, 'Price Data'!A:D, 3, FALSE) * VLOOKUP(B602, 'Price Data'!A:D, 4, FALSE) * C602, "")</f>
        <v/>
      </c>
    </row>
    <row r="603">
      <c r="A603" s="1" t="n">
        <v>45757</v>
      </c>
      <c r="B603" t="inlineStr">
        <is>
          <t>ING-068</t>
        </is>
      </c>
      <c r="C603" t="n">
        <v>1.5</v>
      </c>
      <c r="D603" t="inlineStr">
        <is>
          <t>Hot Hold</t>
        </is>
      </c>
      <c r="E603" t="inlineStr">
        <is>
          <t>Maybe</t>
        </is>
      </c>
      <c r="F603" t="inlineStr">
        <is>
          <t>Temp. logs req.</t>
        </is>
      </c>
      <c r="G603" s="13">
        <f>IFERROR(VLOOKUP(B603, 'Price Data'!A:D, 3, FALSE) * VLOOKUP(B603, 'Price Data'!A:D, 4, FALSE) * C603, "")</f>
        <v/>
      </c>
    </row>
    <row r="604">
      <c r="A604" s="1" t="n">
        <v>45757</v>
      </c>
      <c r="B604" t="inlineStr">
        <is>
          <t>ING-039</t>
        </is>
      </c>
      <c r="C604" t="n">
        <v>1.5</v>
      </c>
      <c r="D604" t="inlineStr">
        <is>
          <t>Expiring</t>
        </is>
      </c>
      <c r="E604" t="inlineStr">
        <is>
          <t>Yes</t>
        </is>
      </c>
      <c r="F604" s="2" t="inlineStr">
        <is>
          <t>Freeze (req)</t>
        </is>
      </c>
      <c r="G604" s="13">
        <f>IFERROR(VLOOKUP(B604, 'Price Data'!A:D, 3, FALSE) * VLOOKUP(B604, 'Price Data'!A:D, 4, FALSE) * C604, "")</f>
        <v/>
      </c>
    </row>
    <row r="605">
      <c r="A605" s="1" t="n">
        <v>45757</v>
      </c>
      <c r="B605" t="inlineStr">
        <is>
          <t>ING-067</t>
        </is>
      </c>
      <c r="C605" t="n">
        <v>2.5</v>
      </c>
      <c r="D605" t="inlineStr">
        <is>
          <t>Expiring</t>
        </is>
      </c>
      <c r="E605" t="inlineStr">
        <is>
          <t>Yes</t>
        </is>
      </c>
      <c r="F605" t="inlineStr">
        <is>
          <t>Freeze (req)</t>
        </is>
      </c>
      <c r="G605" s="13">
        <f>IFERROR(VLOOKUP(B605, 'Price Data'!A:D, 3, FALSE) * VLOOKUP(B605, 'Price Data'!A:D, 4, FALSE) * C605, "")</f>
        <v/>
      </c>
    </row>
    <row r="606">
      <c r="A606" s="1" t="n">
        <v>45757</v>
      </c>
      <c r="B606" t="inlineStr">
        <is>
          <t>ING-163</t>
        </is>
      </c>
      <c r="C606" t="n">
        <v>1.5</v>
      </c>
      <c r="D606" t="inlineStr">
        <is>
          <t>Hot Hold</t>
        </is>
      </c>
      <c r="E606" t="inlineStr">
        <is>
          <t>Weak Maybe</t>
        </is>
      </c>
      <c r="F606" t="inlineStr">
        <is>
          <t>Temp. logs req.</t>
        </is>
      </c>
      <c r="G606" s="13">
        <f>IFERROR(VLOOKUP(B606, 'Price Data'!A:D, 3, FALSE) * VLOOKUP(B606, 'Price Data'!A:D, 4, FALSE) * C606, "")</f>
        <v/>
      </c>
    </row>
    <row r="607">
      <c r="A607" s="1" t="n">
        <v>45757</v>
      </c>
      <c r="B607" t="inlineStr">
        <is>
          <t>ING-131</t>
        </is>
      </c>
      <c r="C607" t="n">
        <v>0.5</v>
      </c>
      <c r="D607" t="inlineStr">
        <is>
          <t>Expiring</t>
        </is>
      </c>
      <c r="E607" t="inlineStr">
        <is>
          <t>No</t>
        </is>
      </c>
      <c r="F607" t="inlineStr">
        <is>
          <t xml:space="preserve">No tamper-proof seal, </t>
        </is>
      </c>
      <c r="G607" s="13">
        <f>IFERROR(VLOOKUP(B607, 'Price Data'!A:D, 3, FALSE) * VLOOKUP(B607, 'Price Data'!A:D, 4, FALSE) * C607, "")</f>
        <v/>
      </c>
    </row>
    <row r="608">
      <c r="A608" s="1" t="n">
        <v>45757</v>
      </c>
      <c r="B608" t="inlineStr">
        <is>
          <t>ING-076</t>
        </is>
      </c>
      <c r="C608" t="n">
        <v>1</v>
      </c>
      <c r="D608" t="inlineStr">
        <is>
          <t>Expiring</t>
        </is>
      </c>
      <c r="E608" t="inlineStr">
        <is>
          <t>Yes</t>
        </is>
      </c>
      <c r="F608" t="inlineStr">
        <is>
          <t>As is</t>
        </is>
      </c>
      <c r="G608" s="13">
        <f>IFERROR(VLOOKUP(B608, 'Price Data'!A:D, 3, FALSE) * VLOOKUP(B608, 'Price Data'!A:D, 4, FALSE) * C608, "")</f>
        <v/>
      </c>
    </row>
    <row r="609">
      <c r="A609" s="1" t="n">
        <v>45758</v>
      </c>
      <c r="B609" t="inlineStr">
        <is>
          <t>ING-058</t>
        </is>
      </c>
      <c r="C609" t="n">
        <v>2.5</v>
      </c>
      <c r="D609" t="inlineStr">
        <is>
          <t>Expiring</t>
        </is>
      </c>
      <c r="E609" t="inlineStr">
        <is>
          <t>Yes</t>
        </is>
      </c>
      <c r="F609" s="2" t="inlineStr">
        <is>
          <t>Freeze (rec)</t>
        </is>
      </c>
      <c r="G609" s="13">
        <f>IFERROR(VLOOKUP(B609, 'Price Data'!A:D, 3, FALSE) * VLOOKUP(B609, 'Price Data'!A:D, 4, FALSE) * C609, "")</f>
        <v/>
      </c>
    </row>
    <row r="610">
      <c r="A610" s="1" t="n">
        <v>45758</v>
      </c>
      <c r="B610" t="inlineStr">
        <is>
          <t>ING-057</t>
        </is>
      </c>
      <c r="C610" t="n">
        <v>0.5</v>
      </c>
      <c r="D610" t="inlineStr">
        <is>
          <t>Expiring</t>
        </is>
      </c>
      <c r="E610" t="inlineStr">
        <is>
          <t>Weak Maybe</t>
        </is>
      </c>
      <c r="F610" t="inlineStr">
        <is>
          <t>Cut produce | No tamper-proof seal</t>
        </is>
      </c>
      <c r="G610" s="13">
        <f>IFERROR(VLOOKUP(B610, 'Price Data'!A:D, 3, FALSE) * VLOOKUP(B610, 'Price Data'!A:D, 4, FALSE) * C610, "")</f>
        <v/>
      </c>
    </row>
    <row r="611">
      <c r="A611" s="1" t="n">
        <v>45758</v>
      </c>
      <c r="B611" t="inlineStr">
        <is>
          <t>ING-049</t>
        </is>
      </c>
      <c r="C611" t="n">
        <v>2.5</v>
      </c>
      <c r="D611" t="inlineStr">
        <is>
          <t>Hot Hold</t>
        </is>
      </c>
      <c r="E611" t="inlineStr">
        <is>
          <t>No</t>
        </is>
      </c>
      <c r="F611" s="2" t="inlineStr">
        <is>
          <t>Minimal Utility</t>
        </is>
      </c>
      <c r="G611" s="13">
        <f>IFERROR(VLOOKUP(B611, 'Price Data'!A:D, 3, FALSE) * VLOOKUP(B611, 'Price Data'!A:D, 4, FALSE) * C611, "")</f>
        <v/>
      </c>
    </row>
    <row r="612">
      <c r="A612" s="1" t="n">
        <v>45758</v>
      </c>
      <c r="B612" t="inlineStr">
        <is>
          <t>ING-074</t>
        </is>
      </c>
      <c r="C612" t="n">
        <v>1</v>
      </c>
      <c r="D612" t="inlineStr">
        <is>
          <t>Expiring</t>
        </is>
      </c>
      <c r="E612" t="inlineStr">
        <is>
          <t>Strong Maybe</t>
        </is>
      </c>
      <c r="F612" s="2" t="inlineStr">
        <is>
          <t>Freeze (rec)</t>
        </is>
      </c>
      <c r="G612" s="13">
        <f>IFERROR(VLOOKUP(B612, 'Price Data'!A:D, 3, FALSE) * VLOOKUP(B612, 'Price Data'!A:D, 4, FALSE) * C612, "")</f>
        <v/>
      </c>
    </row>
    <row r="613">
      <c r="A613" s="1" t="n">
        <v>45758</v>
      </c>
      <c r="B613" t="inlineStr">
        <is>
          <t>ING-028</t>
        </is>
      </c>
      <c r="C613" t="n">
        <v>0.5</v>
      </c>
      <c r="D613" t="inlineStr">
        <is>
          <t>Hot Hold</t>
        </is>
      </c>
      <c r="E613" t="inlineStr">
        <is>
          <t>No</t>
        </is>
      </c>
      <c r="F613" t="inlineStr">
        <is>
          <t>Temp. logs req., No date</t>
        </is>
      </c>
      <c r="G613" s="13">
        <f>IFERROR(VLOOKUP(B613, 'Price Data'!A:D, 3, FALSE) * VLOOKUP(B613, 'Price Data'!A:D, 4, FALSE) * C613, "")</f>
        <v/>
      </c>
    </row>
    <row r="614">
      <c r="A614" s="1" t="n">
        <v>45758</v>
      </c>
      <c r="B614" t="inlineStr">
        <is>
          <t>ING-152</t>
        </is>
      </c>
      <c r="C614" t="n">
        <v>1</v>
      </c>
      <c r="D614" t="inlineStr">
        <is>
          <t>Hot Hold</t>
        </is>
      </c>
      <c r="E614" t="inlineStr">
        <is>
          <t>Weak Maybe</t>
        </is>
      </c>
      <c r="F614" t="inlineStr">
        <is>
          <t>Temp. logs req.</t>
        </is>
      </c>
      <c r="G614" s="13">
        <f>IFERROR(VLOOKUP(B614, 'Price Data'!A:D, 3, FALSE) * VLOOKUP(B614, 'Price Data'!A:D, 4, FALSE) * C614, "")</f>
        <v/>
      </c>
    </row>
    <row r="615">
      <c r="A615" s="1" t="n">
        <v>45758</v>
      </c>
      <c r="B615" t="inlineStr">
        <is>
          <t>ING-146</t>
        </is>
      </c>
      <c r="C615" t="n">
        <v>1</v>
      </c>
      <c r="D615" t="inlineStr">
        <is>
          <t>Hot Hold</t>
        </is>
      </c>
      <c r="E615" t="inlineStr">
        <is>
          <t>Weak Maybe</t>
        </is>
      </c>
      <c r="F615" t="inlineStr">
        <is>
          <t>Temp. logs req.</t>
        </is>
      </c>
      <c r="G615" s="13">
        <f>IFERROR(VLOOKUP(B615, 'Price Data'!A:D, 3, FALSE) * VLOOKUP(B615, 'Price Data'!A:D, 4, FALSE) * C615, "")</f>
        <v/>
      </c>
    </row>
    <row r="616">
      <c r="A616" s="1" t="n">
        <v>45758</v>
      </c>
      <c r="B616" t="inlineStr">
        <is>
          <t>ING-016</t>
        </is>
      </c>
      <c r="C616" t="n">
        <v>2.5</v>
      </c>
      <c r="D616" t="inlineStr">
        <is>
          <t>Hot Hold</t>
        </is>
      </c>
      <c r="E616" t="inlineStr">
        <is>
          <t>Weak Maybe</t>
        </is>
      </c>
      <c r="F616" t="inlineStr">
        <is>
          <t>Temp. logs req. | Seafood</t>
        </is>
      </c>
      <c r="G616" s="13">
        <f>IFERROR(VLOOKUP(B616, 'Price Data'!A:D, 3, FALSE) * VLOOKUP(B616, 'Price Data'!A:D, 4, FALSE) * C616, "")</f>
        <v/>
      </c>
    </row>
    <row r="617">
      <c r="A617" s="1" t="n">
        <v>45758</v>
      </c>
      <c r="B617" t="inlineStr">
        <is>
          <t>ING-114</t>
        </is>
      </c>
      <c r="C617" t="n">
        <v>0.5</v>
      </c>
      <c r="D617" t="inlineStr">
        <is>
          <t>Expiring</t>
        </is>
      </c>
      <c r="E617" t="inlineStr">
        <is>
          <t>No</t>
        </is>
      </c>
      <c r="F617" t="inlineStr">
        <is>
          <t>Freeze (req), No tamper-proof seal</t>
        </is>
      </c>
      <c r="G617" s="13">
        <f>IFERROR(VLOOKUP(B617, 'Price Data'!A:D, 3, FALSE) * VLOOKUP(B617, 'Price Data'!A:D, 4, FALSE) * C617, "")</f>
        <v/>
      </c>
    </row>
    <row r="618">
      <c r="A618" s="1" t="n">
        <v>45758</v>
      </c>
      <c r="B618" t="inlineStr">
        <is>
          <t>ING-089</t>
        </is>
      </c>
      <c r="C618" t="n">
        <v>0.5</v>
      </c>
      <c r="D618" t="inlineStr">
        <is>
          <t>Expiring</t>
        </is>
      </c>
      <c r="E618" t="inlineStr">
        <is>
          <t>No</t>
        </is>
      </c>
      <c r="F618" t="inlineStr">
        <is>
          <t>No tamper-proof seal</t>
        </is>
      </c>
      <c r="G618" s="13">
        <f>IFERROR(VLOOKUP(B618, 'Price Data'!A:D, 3, FALSE) * VLOOKUP(B618, 'Price Data'!A:D, 4, FALSE) * C618, "")</f>
        <v/>
      </c>
    </row>
    <row r="619">
      <c r="A619" s="1" t="n">
        <v>45758</v>
      </c>
      <c r="B619" t="inlineStr">
        <is>
          <t>ING-087</t>
        </is>
      </c>
      <c r="C619" t="n">
        <v>1</v>
      </c>
      <c r="D619" t="inlineStr">
        <is>
          <t>Expiring</t>
        </is>
      </c>
      <c r="E619" t="inlineStr">
        <is>
          <t>Yes</t>
        </is>
      </c>
      <c r="F619" t="inlineStr">
        <is>
          <t>As is</t>
        </is>
      </c>
      <c r="G619" s="13">
        <f>IFERROR(VLOOKUP(B619, 'Price Data'!A:D, 3, FALSE) * VLOOKUP(B619, 'Price Data'!A:D, 4, FALSE) * C619, "")</f>
        <v/>
      </c>
    </row>
    <row r="620">
      <c r="A620" s="1" t="n">
        <v>45758</v>
      </c>
      <c r="B620" t="inlineStr">
        <is>
          <t>ING-126</t>
        </is>
      </c>
      <c r="C620" t="n">
        <v>1.5</v>
      </c>
      <c r="D620" t="inlineStr">
        <is>
          <t>Expiring</t>
        </is>
      </c>
      <c r="E620" t="inlineStr">
        <is>
          <t>Strong Maybe</t>
        </is>
      </c>
      <c r="F620" t="inlineStr">
        <is>
          <t>Freeze (req) | Seafood</t>
        </is>
      </c>
      <c r="G620" s="13">
        <f>IFERROR(VLOOKUP(B620, 'Price Data'!A:D, 3, FALSE) * VLOOKUP(B620, 'Price Data'!A:D, 4, FALSE) * C620, "")</f>
        <v/>
      </c>
    </row>
    <row r="621">
      <c r="A621" s="1" t="n">
        <v>45758</v>
      </c>
      <c r="B621" t="inlineStr">
        <is>
          <t>ING-120</t>
        </is>
      </c>
      <c r="C621" t="n">
        <v>1.5</v>
      </c>
      <c r="D621" t="inlineStr">
        <is>
          <t>Expiring</t>
        </is>
      </c>
      <c r="E621" t="inlineStr">
        <is>
          <t>Yes</t>
        </is>
      </c>
      <c r="F621" t="inlineStr">
        <is>
          <t>Freeze (req)</t>
        </is>
      </c>
      <c r="G621" s="13">
        <f>IFERROR(VLOOKUP(B621, 'Price Data'!A:D, 3, FALSE) * VLOOKUP(B621, 'Price Data'!A:D, 4, FALSE) * C621, "")</f>
        <v/>
      </c>
    </row>
    <row r="622">
      <c r="A622" s="1" t="n">
        <v>45758</v>
      </c>
      <c r="B622" t="inlineStr">
        <is>
          <t>ING-150</t>
        </is>
      </c>
      <c r="C622" t="n">
        <v>16</v>
      </c>
      <c r="D622" t="inlineStr">
        <is>
          <t>Expiring</t>
        </is>
      </c>
      <c r="E622" t="inlineStr">
        <is>
          <t>Yes</t>
        </is>
      </c>
      <c r="F622" t="inlineStr">
        <is>
          <t>Freeze (req)</t>
        </is>
      </c>
      <c r="G622" s="13">
        <f>IFERROR(VLOOKUP(B622, 'Price Data'!A:D, 3, FALSE) * VLOOKUP(B622, 'Price Data'!A:D, 4, FALSE) * C622, "")</f>
        <v/>
      </c>
    </row>
    <row r="623">
      <c r="A623" s="1" t="n">
        <v>45758</v>
      </c>
      <c r="B623" t="inlineStr">
        <is>
          <t>ING-065</t>
        </is>
      </c>
      <c r="C623" t="n">
        <v>0.5</v>
      </c>
      <c r="D623" t="inlineStr">
        <is>
          <t>Expiring</t>
        </is>
      </c>
      <c r="E623" t="inlineStr">
        <is>
          <t>Yes</t>
        </is>
      </c>
      <c r="F623" t="inlineStr">
        <is>
          <t>Freeze (req)</t>
        </is>
      </c>
      <c r="G623" s="13">
        <f>IFERROR(VLOOKUP(B623, 'Price Data'!A:D, 3, FALSE) * VLOOKUP(B623, 'Price Data'!A:D, 4, FALSE) * C623, "")</f>
        <v/>
      </c>
    </row>
    <row r="624">
      <c r="A624" s="1" t="n">
        <v>45758</v>
      </c>
      <c r="B624" t="inlineStr">
        <is>
          <t>ING-016</t>
        </is>
      </c>
      <c r="C624" t="n">
        <v>4</v>
      </c>
      <c r="D624" t="inlineStr">
        <is>
          <t>Expiring</t>
        </is>
      </c>
      <c r="E624" t="inlineStr">
        <is>
          <t>Strong Maybe</t>
        </is>
      </c>
      <c r="F624" s="5" t="inlineStr">
        <is>
          <t>Freeze (req) | Seafood</t>
        </is>
      </c>
      <c r="G624" s="13">
        <f>IFERROR(VLOOKUP(B624, 'Price Data'!A:D, 3, FALSE) * VLOOKUP(B624, 'Price Data'!A:D, 4, FALSE) * C624, "")</f>
        <v/>
      </c>
    </row>
    <row r="625">
      <c r="A625" s="1" t="n">
        <v>45758</v>
      </c>
      <c r="B625" t="inlineStr">
        <is>
          <t>ING-076</t>
        </is>
      </c>
      <c r="C625" t="n">
        <v>1</v>
      </c>
      <c r="D625" t="inlineStr">
        <is>
          <t>Hot Hold</t>
        </is>
      </c>
      <c r="E625" t="inlineStr">
        <is>
          <t>Weak Maybe</t>
        </is>
      </c>
      <c r="F625" s="2" t="inlineStr">
        <is>
          <t>Temp. logs req.</t>
        </is>
      </c>
      <c r="G625" s="13">
        <f>IFERROR(VLOOKUP(B625, 'Price Data'!A:D, 3, FALSE) * VLOOKUP(B625, 'Price Data'!A:D, 4, FALSE) * C625, "")</f>
        <v/>
      </c>
    </row>
    <row r="626">
      <c r="A626" s="1" t="n">
        <v>45758</v>
      </c>
      <c r="B626" t="inlineStr">
        <is>
          <t>ING-023</t>
        </is>
      </c>
      <c r="C626" t="n">
        <v>12</v>
      </c>
      <c r="D626" t="inlineStr">
        <is>
          <t>Expiring</t>
        </is>
      </c>
      <c r="E626" t="inlineStr">
        <is>
          <t>Weak Maybe</t>
        </is>
      </c>
      <c r="F626" t="inlineStr">
        <is>
          <t>Freeze (rec) | Minimal Use</t>
        </is>
      </c>
      <c r="G626" s="13">
        <f>IFERROR(VLOOKUP(B626, 'Price Data'!A:D, 3, FALSE) * VLOOKUP(B626, 'Price Data'!A:D, 4, FALSE) * C626, "")</f>
        <v/>
      </c>
    </row>
    <row r="627">
      <c r="A627" s="1" t="n">
        <v>45758</v>
      </c>
      <c r="B627" t="inlineStr">
        <is>
          <t>ING-164</t>
        </is>
      </c>
      <c r="C627" t="n">
        <v>0.5</v>
      </c>
      <c r="D627" t="inlineStr">
        <is>
          <t>Expiring</t>
        </is>
      </c>
      <c r="E627" t="inlineStr">
        <is>
          <t>Weak Maybe</t>
        </is>
      </c>
      <c r="F627" s="2" t="inlineStr">
        <is>
          <t>No tamper-proof seal</t>
        </is>
      </c>
      <c r="G627" s="13">
        <f>IFERROR(VLOOKUP(B627, 'Price Data'!A:D, 3, FALSE) * VLOOKUP(B627, 'Price Data'!A:D, 4, FALSE) * C627, "")</f>
        <v/>
      </c>
    </row>
    <row r="628">
      <c r="A628" s="1" t="n">
        <v>45758</v>
      </c>
      <c r="B628" t="inlineStr">
        <is>
          <t>ING-109</t>
        </is>
      </c>
      <c r="C628" t="n">
        <v>1.5</v>
      </c>
      <c r="D628" t="inlineStr">
        <is>
          <t>Expiring</t>
        </is>
      </c>
      <c r="E628" t="inlineStr">
        <is>
          <t>Yes</t>
        </is>
      </c>
      <c r="F628" s="2" t="inlineStr">
        <is>
          <t>Freeze (req)</t>
        </is>
      </c>
      <c r="G628" s="13">
        <f>IFERROR(VLOOKUP(B628, 'Price Data'!A:D, 3, FALSE) * VLOOKUP(B628, 'Price Data'!A:D, 4, FALSE) * C628, "")</f>
        <v/>
      </c>
    </row>
    <row r="629">
      <c r="A629" s="1" t="n">
        <v>45758</v>
      </c>
      <c r="B629" t="inlineStr">
        <is>
          <t>ING-095</t>
        </is>
      </c>
      <c r="C629" t="n">
        <v>1</v>
      </c>
      <c r="D629" t="inlineStr">
        <is>
          <t>Expiring</t>
        </is>
      </c>
      <c r="E629" t="inlineStr">
        <is>
          <t>Strong Maybe</t>
        </is>
      </c>
      <c r="F629" t="inlineStr">
        <is>
          <t>Freeze (req) | Seafood</t>
        </is>
      </c>
      <c r="G629" s="13">
        <f>IFERROR(VLOOKUP(B629, 'Price Data'!A:D, 3, FALSE) * VLOOKUP(B629, 'Price Data'!A:D, 4, FALSE) * C629, "")</f>
        <v/>
      </c>
    </row>
    <row r="630">
      <c r="A630" s="1" t="n">
        <v>45758</v>
      </c>
      <c r="B630" t="inlineStr">
        <is>
          <t>ING-157</t>
        </is>
      </c>
      <c r="C630" t="n">
        <v>20.5</v>
      </c>
      <c r="D630" t="inlineStr">
        <is>
          <t>Expiring</t>
        </is>
      </c>
      <c r="E630" t="inlineStr">
        <is>
          <t>Yes</t>
        </is>
      </c>
      <c r="F630" t="inlineStr">
        <is>
          <t>As is</t>
        </is>
      </c>
      <c r="G630" s="13">
        <f>IFERROR(VLOOKUP(B630, 'Price Data'!A:D, 3, FALSE) * VLOOKUP(B630, 'Price Data'!A:D, 4, FALSE) * C630, "")</f>
        <v/>
      </c>
    </row>
    <row r="631">
      <c r="A631" s="1" t="n">
        <v>45758</v>
      </c>
      <c r="B631" t="inlineStr">
        <is>
          <t>ING-036</t>
        </is>
      </c>
      <c r="C631" t="n">
        <v>1</v>
      </c>
      <c r="D631" t="inlineStr">
        <is>
          <t>Expiring</t>
        </is>
      </c>
      <c r="E631" t="inlineStr">
        <is>
          <t>Strong Maybe</t>
        </is>
      </c>
      <c r="F631" t="inlineStr">
        <is>
          <t>Freeze (req) | Seafood</t>
        </is>
      </c>
      <c r="G631" s="13">
        <f>IFERROR(VLOOKUP(B631, 'Price Data'!A:D, 3, FALSE) * VLOOKUP(B631, 'Price Data'!A:D, 4, FALSE) * C631, "")</f>
        <v/>
      </c>
    </row>
    <row r="632">
      <c r="A632" s="1" t="n">
        <v>45759</v>
      </c>
      <c r="B632" t="inlineStr">
        <is>
          <t>ING-091</t>
        </is>
      </c>
      <c r="C632" t="n">
        <v>2</v>
      </c>
      <c r="D632" t="inlineStr">
        <is>
          <t>Expiring</t>
        </is>
      </c>
      <c r="E632" t="inlineStr">
        <is>
          <t>Yes</t>
        </is>
      </c>
      <c r="F632" t="inlineStr">
        <is>
          <t>Freeze (req)</t>
        </is>
      </c>
      <c r="G632" s="13">
        <f>IFERROR(VLOOKUP(B632, 'Price Data'!A:D, 3, FALSE) * VLOOKUP(B632, 'Price Data'!A:D, 4, FALSE) * C632, "")</f>
        <v/>
      </c>
    </row>
    <row r="633">
      <c r="A633" s="1" t="n">
        <v>45759</v>
      </c>
      <c r="B633" s="2" t="inlineStr">
        <is>
          <t>ING-057</t>
        </is>
      </c>
      <c r="C633" t="n">
        <v>0.5</v>
      </c>
      <c r="D633" t="inlineStr">
        <is>
          <t>Expiring</t>
        </is>
      </c>
      <c r="E633" t="inlineStr">
        <is>
          <t>Weak Maybe</t>
        </is>
      </c>
      <c r="F633" s="2" t="inlineStr">
        <is>
          <t>Cut produce | No tamper-proof seal</t>
        </is>
      </c>
      <c r="G633" s="13">
        <f>IFERROR(VLOOKUP(B633, 'Price Data'!A:D, 3, FALSE) * VLOOKUP(B633, 'Price Data'!A:D, 4, FALSE) * C633, "")</f>
        <v/>
      </c>
    </row>
    <row r="634">
      <c r="A634" s="1" t="n">
        <v>45759</v>
      </c>
      <c r="B634" t="inlineStr">
        <is>
          <t>ING-150</t>
        </is>
      </c>
      <c r="C634" t="n">
        <v>16.5</v>
      </c>
      <c r="D634" t="inlineStr">
        <is>
          <t>Expiring</t>
        </is>
      </c>
      <c r="E634" t="inlineStr">
        <is>
          <t>Yes</t>
        </is>
      </c>
      <c r="F634" t="inlineStr">
        <is>
          <t>Freeze (req)</t>
        </is>
      </c>
      <c r="G634" s="13">
        <f>IFERROR(VLOOKUP(B634, 'Price Data'!A:D, 3, FALSE) * VLOOKUP(B634, 'Price Data'!A:D, 4, FALSE) * C634, "")</f>
        <v/>
      </c>
    </row>
    <row r="635">
      <c r="A635" s="1" t="n">
        <v>45759</v>
      </c>
      <c r="B635" t="inlineStr">
        <is>
          <t>ING-169</t>
        </is>
      </c>
      <c r="C635" t="n">
        <v>3.5</v>
      </c>
      <c r="D635" t="inlineStr">
        <is>
          <t>Expiring</t>
        </is>
      </c>
      <c r="E635" t="inlineStr">
        <is>
          <t>Maybe</t>
        </is>
      </c>
      <c r="F635" t="inlineStr">
        <is>
          <t>As is | Minimal Utility</t>
        </is>
      </c>
      <c r="G635" s="13">
        <f>IFERROR(VLOOKUP(B635, 'Price Data'!A:D, 3, FALSE) * VLOOKUP(B635, 'Price Data'!A:D, 4, FALSE) * C635, "")</f>
        <v/>
      </c>
    </row>
    <row r="636">
      <c r="A636" s="1" t="n">
        <v>45759</v>
      </c>
      <c r="B636" t="inlineStr">
        <is>
          <t>ING-152</t>
        </is>
      </c>
      <c r="C636" t="n">
        <v>0.5</v>
      </c>
      <c r="D636" t="inlineStr">
        <is>
          <t>Hot Hold</t>
        </is>
      </c>
      <c r="E636" t="inlineStr">
        <is>
          <t>Weak Maybe</t>
        </is>
      </c>
      <c r="F636" t="inlineStr">
        <is>
          <t>Temp. logs req.</t>
        </is>
      </c>
      <c r="G636" s="13">
        <f>IFERROR(VLOOKUP(B636, 'Price Data'!A:D, 3, FALSE) * VLOOKUP(B636, 'Price Data'!A:D, 4, FALSE) * C636, "")</f>
        <v/>
      </c>
    </row>
    <row r="637">
      <c r="A637" s="1" t="n">
        <v>45759</v>
      </c>
      <c r="B637" t="inlineStr">
        <is>
          <t>ING-083</t>
        </is>
      </c>
      <c r="C637" t="n">
        <v>3</v>
      </c>
      <c r="D637" t="inlineStr">
        <is>
          <t>Hot Hold</t>
        </is>
      </c>
      <c r="E637" t="inlineStr">
        <is>
          <t>Weak Maybe</t>
        </is>
      </c>
      <c r="F637" s="2" t="inlineStr">
        <is>
          <t>Temp. logs req.</t>
        </is>
      </c>
      <c r="G637" s="13">
        <f>IFERROR(VLOOKUP(B637, 'Price Data'!A:D, 3, FALSE) * VLOOKUP(B637, 'Price Data'!A:D, 4, FALSE) * C637, "")</f>
        <v/>
      </c>
    </row>
    <row r="638">
      <c r="A638" s="1" t="n">
        <v>45759</v>
      </c>
      <c r="B638" t="inlineStr">
        <is>
          <t>ING-111</t>
        </is>
      </c>
      <c r="C638" t="n">
        <v>1</v>
      </c>
      <c r="D638" t="inlineStr">
        <is>
          <t>Expiring</t>
        </is>
      </c>
      <c r="E638" t="inlineStr">
        <is>
          <t>No</t>
        </is>
      </c>
      <c r="F638" t="inlineStr">
        <is>
          <t>No Date</t>
        </is>
      </c>
      <c r="G638" s="13">
        <f>IFERROR(VLOOKUP(B638, 'Price Data'!A:D, 3, FALSE) * VLOOKUP(B638, 'Price Data'!A:D, 4, FALSE) * C638, "")</f>
        <v/>
      </c>
    </row>
    <row r="639">
      <c r="A639" s="1" t="n">
        <v>45759</v>
      </c>
      <c r="B639" t="inlineStr">
        <is>
          <t>ING-120</t>
        </is>
      </c>
      <c r="C639" t="n">
        <v>2.5</v>
      </c>
      <c r="D639" t="inlineStr">
        <is>
          <t>Expiring</t>
        </is>
      </c>
      <c r="E639" t="inlineStr">
        <is>
          <t>Yes</t>
        </is>
      </c>
      <c r="F639" s="2" t="inlineStr">
        <is>
          <t>Freeze (req)</t>
        </is>
      </c>
      <c r="G639" s="13">
        <f>IFERROR(VLOOKUP(B639, 'Price Data'!A:D, 3, FALSE) * VLOOKUP(B639, 'Price Data'!A:D, 4, FALSE) * C639, "")</f>
        <v/>
      </c>
    </row>
    <row r="640">
      <c r="A640" s="1" t="n">
        <v>45759</v>
      </c>
      <c r="B640" t="inlineStr">
        <is>
          <t>ING-136</t>
        </is>
      </c>
      <c r="C640" t="n">
        <v>1</v>
      </c>
      <c r="D640" t="inlineStr">
        <is>
          <t>Expiring</t>
        </is>
      </c>
      <c r="E640" t="inlineStr">
        <is>
          <t>Yes</t>
        </is>
      </c>
      <c r="F640" t="inlineStr">
        <is>
          <t>As is</t>
        </is>
      </c>
      <c r="G640" s="13">
        <f>IFERROR(VLOOKUP(B640, 'Price Data'!A:D, 3, FALSE) * VLOOKUP(B640, 'Price Data'!A:D, 4, FALSE) * C640, "")</f>
        <v/>
      </c>
    </row>
    <row r="641">
      <c r="A641" s="1" t="n">
        <v>45759</v>
      </c>
      <c r="B641" t="inlineStr">
        <is>
          <t>ING-109</t>
        </is>
      </c>
      <c r="C641" t="n">
        <v>0.5</v>
      </c>
      <c r="D641" t="inlineStr">
        <is>
          <t>Expiring</t>
        </is>
      </c>
      <c r="E641" t="inlineStr">
        <is>
          <t>No</t>
        </is>
      </c>
      <c r="F641" t="inlineStr">
        <is>
          <t>Freeze (req)</t>
        </is>
      </c>
      <c r="G641" s="13">
        <f>IFERROR(VLOOKUP(B641, 'Price Data'!A:D, 3, FALSE) * VLOOKUP(B641, 'Price Data'!A:D, 4, FALSE) * C641, "")</f>
        <v/>
      </c>
    </row>
    <row r="642">
      <c r="A642" s="1" t="n">
        <v>45759</v>
      </c>
      <c r="B642" t="inlineStr">
        <is>
          <t>ING-151</t>
        </is>
      </c>
      <c r="C642" t="n">
        <v>2.5</v>
      </c>
      <c r="D642" t="inlineStr">
        <is>
          <t>Expiring</t>
        </is>
      </c>
      <c r="E642" t="inlineStr">
        <is>
          <t>Yes</t>
        </is>
      </c>
      <c r="F642" t="inlineStr">
        <is>
          <t>Freeze (req)</t>
        </is>
      </c>
      <c r="G642" s="13">
        <f>IFERROR(VLOOKUP(B642, 'Price Data'!A:D, 3, FALSE) * VLOOKUP(B642, 'Price Data'!A:D, 4, FALSE) * C642, "")</f>
        <v/>
      </c>
    </row>
    <row r="643">
      <c r="A643" s="1" t="n">
        <v>45759</v>
      </c>
      <c r="B643" t="inlineStr">
        <is>
          <t>ING-062</t>
        </is>
      </c>
      <c r="C643" t="n">
        <v>3.5</v>
      </c>
      <c r="D643" t="inlineStr">
        <is>
          <t>Expiring</t>
        </is>
      </c>
      <c r="E643" t="inlineStr">
        <is>
          <t>Yes</t>
        </is>
      </c>
      <c r="F643" t="inlineStr">
        <is>
          <t>Freeze (req)</t>
        </is>
      </c>
      <c r="G643" s="13">
        <f>IFERROR(VLOOKUP(B643, 'Price Data'!A:D, 3, FALSE) * VLOOKUP(B643, 'Price Data'!A:D, 4, FALSE) * C643, "")</f>
        <v/>
      </c>
    </row>
    <row r="644">
      <c r="A644" s="1" t="n">
        <v>45759</v>
      </c>
      <c r="B644" t="inlineStr">
        <is>
          <t>ING-157</t>
        </is>
      </c>
      <c r="C644" t="n">
        <v>2.5</v>
      </c>
      <c r="D644" t="inlineStr">
        <is>
          <t>Hot Hold</t>
        </is>
      </c>
      <c r="E644" t="inlineStr">
        <is>
          <t>Maybe</t>
        </is>
      </c>
      <c r="F644" s="2" t="inlineStr">
        <is>
          <t>Temp. logs req.</t>
        </is>
      </c>
      <c r="G644" s="13">
        <f>IFERROR(VLOOKUP(B644, 'Price Data'!A:D, 3, FALSE) * VLOOKUP(B644, 'Price Data'!A:D, 4, FALSE) * C644, "")</f>
        <v/>
      </c>
    </row>
    <row r="645">
      <c r="A645" s="1" t="n">
        <v>45759</v>
      </c>
      <c r="B645" t="inlineStr">
        <is>
          <t>ING-124</t>
        </is>
      </c>
      <c r="C645" t="n">
        <v>0.5</v>
      </c>
      <c r="D645" t="inlineStr">
        <is>
          <t>Expiring</t>
        </is>
      </c>
      <c r="E645" t="inlineStr">
        <is>
          <t>No</t>
        </is>
      </c>
      <c r="F645" t="inlineStr">
        <is>
          <t>Minimal Utility</t>
        </is>
      </c>
      <c r="G645" s="13">
        <f>IFERROR(VLOOKUP(B645, 'Price Data'!A:D, 3, FALSE) * VLOOKUP(B645, 'Price Data'!A:D, 4, FALSE) * C645, "")</f>
        <v/>
      </c>
    </row>
    <row r="646">
      <c r="A646" s="1" t="n">
        <v>45759</v>
      </c>
      <c r="B646" t="inlineStr">
        <is>
          <t>ING-036</t>
        </is>
      </c>
      <c r="C646" t="n">
        <v>2</v>
      </c>
      <c r="D646" t="inlineStr">
        <is>
          <t>Expiring</t>
        </is>
      </c>
      <c r="E646" t="inlineStr">
        <is>
          <t>Strong Maybe</t>
        </is>
      </c>
      <c r="F646" t="inlineStr">
        <is>
          <t>Freeze (req) | Seafood</t>
        </is>
      </c>
      <c r="G646" s="13">
        <f>IFERROR(VLOOKUP(B646, 'Price Data'!A:D, 3, FALSE) * VLOOKUP(B646, 'Price Data'!A:D, 4, FALSE) * C646, "")</f>
        <v/>
      </c>
    </row>
    <row r="647">
      <c r="A647" s="1" t="n">
        <v>45759</v>
      </c>
      <c r="B647" t="inlineStr">
        <is>
          <t>ING-176</t>
        </is>
      </c>
      <c r="C647" t="n">
        <v>4</v>
      </c>
      <c r="D647" t="inlineStr">
        <is>
          <t>Expiring</t>
        </is>
      </c>
      <c r="E647" t="inlineStr">
        <is>
          <t>Yes</t>
        </is>
      </c>
      <c r="F647" t="inlineStr">
        <is>
          <t>As is</t>
        </is>
      </c>
      <c r="G647" s="13">
        <f>IFERROR(VLOOKUP(B647, 'Price Data'!A:D, 3, FALSE) * VLOOKUP(B647, 'Price Data'!A:D, 4, FALSE) * C647, "")</f>
        <v/>
      </c>
    </row>
    <row r="648">
      <c r="A648" s="1" t="n">
        <v>45759</v>
      </c>
      <c r="B648" t="inlineStr">
        <is>
          <t>ING-056</t>
        </is>
      </c>
      <c r="C648" t="n">
        <v>3.5</v>
      </c>
      <c r="D648" t="inlineStr">
        <is>
          <t>Hot Hold</t>
        </is>
      </c>
      <c r="E648" t="inlineStr">
        <is>
          <t>No</t>
        </is>
      </c>
      <c r="F648" t="inlineStr">
        <is>
          <t>Temp. logs req. | Cooked produce | Minimal Utility</t>
        </is>
      </c>
      <c r="G648" s="13">
        <f>IFERROR(VLOOKUP(B648, 'Price Data'!A:D, 3, FALSE) * VLOOKUP(B648, 'Price Data'!A:D, 4, FALSE) * C648, "")</f>
        <v/>
      </c>
    </row>
    <row r="649">
      <c r="A649" s="1" t="n">
        <v>45759</v>
      </c>
      <c r="B649" t="inlineStr">
        <is>
          <t>ING-131</t>
        </is>
      </c>
      <c r="C649" t="n">
        <v>2</v>
      </c>
      <c r="D649" t="inlineStr">
        <is>
          <t>Expiring</t>
        </is>
      </c>
      <c r="E649" t="inlineStr">
        <is>
          <t>Yes</t>
        </is>
      </c>
      <c r="F649" t="inlineStr">
        <is>
          <t>Freeze (req)</t>
        </is>
      </c>
      <c r="G649" s="13">
        <f>IFERROR(VLOOKUP(B649, 'Price Data'!A:D, 3, FALSE) * VLOOKUP(B649, 'Price Data'!A:D, 4, FALSE) * C649, "")</f>
        <v/>
      </c>
    </row>
    <row r="650">
      <c r="A650" s="1" t="n">
        <v>45759</v>
      </c>
      <c r="B650" t="inlineStr">
        <is>
          <t>ING-042</t>
        </is>
      </c>
      <c r="C650" t="n">
        <v>1</v>
      </c>
      <c r="D650" t="inlineStr">
        <is>
          <t>Expiring</t>
        </is>
      </c>
      <c r="E650" t="inlineStr">
        <is>
          <t>No</t>
        </is>
      </c>
      <c r="F650" t="inlineStr">
        <is>
          <t>Minimal Utility</t>
        </is>
      </c>
      <c r="G650" s="13">
        <f>IFERROR(VLOOKUP(B650, 'Price Data'!A:D, 3, FALSE) * VLOOKUP(B650, 'Price Data'!A:D, 4, FALSE) * C650, "")</f>
        <v/>
      </c>
    </row>
    <row r="651">
      <c r="A651" s="1" t="n">
        <v>45759</v>
      </c>
      <c r="B651" t="inlineStr">
        <is>
          <t>ING-114</t>
        </is>
      </c>
      <c r="C651" t="n">
        <v>1</v>
      </c>
      <c r="D651" t="inlineStr">
        <is>
          <t>Expiring</t>
        </is>
      </c>
      <c r="E651" t="inlineStr">
        <is>
          <t>Weak Maybe</t>
        </is>
      </c>
      <c r="F651" t="inlineStr">
        <is>
          <t>No tamper-proof seal, Freeze (req)</t>
        </is>
      </c>
      <c r="G651" s="13">
        <f>IFERROR(VLOOKUP(B651, 'Price Data'!A:D, 3, FALSE) * VLOOKUP(B651, 'Price Data'!A:D, 4, FALSE) * C651, "")</f>
        <v/>
      </c>
    </row>
    <row r="652">
      <c r="A652" s="1" t="n">
        <v>45759</v>
      </c>
      <c r="B652" t="inlineStr">
        <is>
          <t>ING-106</t>
        </is>
      </c>
      <c r="C652" t="n">
        <v>1.5</v>
      </c>
      <c r="D652" t="inlineStr">
        <is>
          <t>Hot Hold</t>
        </is>
      </c>
      <c r="E652" t="inlineStr">
        <is>
          <t>Weak Maybe</t>
        </is>
      </c>
      <c r="F652" t="inlineStr">
        <is>
          <t>Temp. logs req.</t>
        </is>
      </c>
      <c r="G652" s="13">
        <f>IFERROR(VLOOKUP(B652, 'Price Data'!A:D, 3, FALSE) * VLOOKUP(B652, 'Price Data'!A:D, 4, FALSE) * C652, "")</f>
        <v/>
      </c>
    </row>
    <row r="653">
      <c r="A653" s="1" t="n">
        <v>45759</v>
      </c>
      <c r="B653" t="inlineStr">
        <is>
          <t>ING-140</t>
        </is>
      </c>
      <c r="C653" t="n">
        <v>0.5</v>
      </c>
      <c r="D653" t="inlineStr">
        <is>
          <t>Expiring</t>
        </is>
      </c>
      <c r="E653" t="inlineStr">
        <is>
          <t>No</t>
        </is>
      </c>
      <c r="F653" t="inlineStr">
        <is>
          <t>Minimal Utility</t>
        </is>
      </c>
      <c r="G653" s="13">
        <f>IFERROR(VLOOKUP(B653, 'Price Data'!A:D, 3, FALSE) * VLOOKUP(B653, 'Price Data'!A:D, 4, FALSE) * C653, "")</f>
        <v/>
      </c>
    </row>
    <row r="654">
      <c r="A654" s="1" t="n">
        <v>45759</v>
      </c>
      <c r="B654" t="inlineStr">
        <is>
          <t>ING-157</t>
        </is>
      </c>
      <c r="C654" t="n">
        <v>1</v>
      </c>
      <c r="D654" t="inlineStr">
        <is>
          <t>Hot Hold</t>
        </is>
      </c>
      <c r="E654" t="inlineStr">
        <is>
          <t>Maybe</t>
        </is>
      </c>
      <c r="F654" t="inlineStr">
        <is>
          <t>Temp. logs req.</t>
        </is>
      </c>
      <c r="G654" s="13">
        <f>IFERROR(VLOOKUP(B654, 'Price Data'!A:D, 3, FALSE) * VLOOKUP(B654, 'Price Data'!A:D, 4, FALSE) * C654, "")</f>
        <v/>
      </c>
    </row>
    <row r="655">
      <c r="A655" s="1" t="n">
        <v>45759</v>
      </c>
      <c r="B655" t="inlineStr">
        <is>
          <t>ING-091</t>
        </is>
      </c>
      <c r="C655" t="n">
        <v>3.5</v>
      </c>
      <c r="D655" t="inlineStr">
        <is>
          <t>Expiring</t>
        </is>
      </c>
      <c r="E655" t="inlineStr">
        <is>
          <t>Yes</t>
        </is>
      </c>
      <c r="F655" t="inlineStr">
        <is>
          <t>Freeze (req)</t>
        </is>
      </c>
      <c r="G655" s="13">
        <f>IFERROR(VLOOKUP(B655, 'Price Data'!A:D, 3, FALSE) * VLOOKUP(B655, 'Price Data'!A:D, 4, FALSE) * C655, "")</f>
        <v/>
      </c>
    </row>
    <row r="656">
      <c r="A656" s="1" t="n">
        <v>45759</v>
      </c>
      <c r="B656" t="inlineStr">
        <is>
          <t>ING-168</t>
        </is>
      </c>
      <c r="C656" t="n">
        <v>2</v>
      </c>
      <c r="D656" t="inlineStr">
        <is>
          <t>Expiring</t>
        </is>
      </c>
      <c r="E656" t="inlineStr">
        <is>
          <t>Maybe</t>
        </is>
      </c>
      <c r="F656" t="inlineStr">
        <is>
          <t>As is | Minimal Utility</t>
        </is>
      </c>
      <c r="G656" s="13">
        <f>IFERROR(VLOOKUP(B656, 'Price Data'!A:D, 3, FALSE) * VLOOKUP(B656, 'Price Data'!A:D, 4, FALSE) * C656, "")</f>
        <v/>
      </c>
    </row>
    <row r="657">
      <c r="A657" s="1" t="n">
        <v>45759</v>
      </c>
      <c r="B657" t="inlineStr">
        <is>
          <t>ING-056</t>
        </is>
      </c>
      <c r="C657" t="n">
        <v>7</v>
      </c>
      <c r="D657" t="inlineStr">
        <is>
          <t>Hot Hold</t>
        </is>
      </c>
      <c r="E657" t="inlineStr">
        <is>
          <t>No</t>
        </is>
      </c>
      <c r="F657" t="inlineStr">
        <is>
          <t>Temp. logs req. | Cooked produce | Minimal Utility</t>
        </is>
      </c>
      <c r="G657" s="13">
        <f>IFERROR(VLOOKUP(B657, 'Price Data'!A:D, 3, FALSE) * VLOOKUP(B657, 'Price Data'!A:D, 4, FALSE) * C657, "")</f>
        <v/>
      </c>
    </row>
    <row r="658">
      <c r="A658" s="1" t="n">
        <v>45759</v>
      </c>
      <c r="B658" t="inlineStr">
        <is>
          <t>ING-176</t>
        </is>
      </c>
      <c r="C658" t="n">
        <v>2</v>
      </c>
      <c r="D658" t="inlineStr">
        <is>
          <t>Expiring</t>
        </is>
      </c>
      <c r="E658" t="inlineStr">
        <is>
          <t>Maybe</t>
        </is>
      </c>
      <c r="F658" s="2" t="inlineStr">
        <is>
          <t>As is | Minimal Utility</t>
        </is>
      </c>
      <c r="G658" s="13">
        <f>IFERROR(VLOOKUP(B658, 'Price Data'!A:D, 3, FALSE) * VLOOKUP(B658, 'Price Data'!A:D, 4, FALSE) * C658, "")</f>
        <v/>
      </c>
    </row>
    <row r="659">
      <c r="A659" s="1" t="n">
        <v>45759</v>
      </c>
      <c r="B659" t="inlineStr">
        <is>
          <t>ING-105</t>
        </is>
      </c>
      <c r="C659" t="n">
        <v>1</v>
      </c>
      <c r="D659" t="inlineStr">
        <is>
          <t>Hot Hold</t>
        </is>
      </c>
      <c r="E659" t="inlineStr">
        <is>
          <t>Weak Maybe</t>
        </is>
      </c>
      <c r="F659" t="inlineStr">
        <is>
          <t>Temp. logs req. | Minimal Utility</t>
        </is>
      </c>
      <c r="G659" s="13">
        <f>IFERROR(VLOOKUP(B659, 'Price Data'!A:D, 3, FALSE) * VLOOKUP(B659, 'Price Data'!A:D, 4, FALSE) * C659, "")</f>
        <v/>
      </c>
    </row>
    <row r="660">
      <c r="A660" s="1" t="n">
        <v>45759</v>
      </c>
      <c r="B660" t="inlineStr">
        <is>
          <t>ING-046</t>
        </is>
      </c>
      <c r="C660" t="n">
        <v>1</v>
      </c>
      <c r="D660" t="inlineStr">
        <is>
          <t>Expiring</t>
        </is>
      </c>
      <c r="E660" t="inlineStr">
        <is>
          <t>Yes</t>
        </is>
      </c>
      <c r="F660" s="2" t="inlineStr">
        <is>
          <t>Freeze (req)</t>
        </is>
      </c>
      <c r="G660" s="13">
        <f>IFERROR(VLOOKUP(B660, 'Price Data'!A:D, 3, FALSE) * VLOOKUP(B660, 'Price Data'!A:D, 4, FALSE) * C660, "")</f>
        <v/>
      </c>
    </row>
    <row r="661">
      <c r="A661" s="1" t="n">
        <v>45759</v>
      </c>
      <c r="B661" t="inlineStr">
        <is>
          <t>ING-178</t>
        </is>
      </c>
      <c r="C661" t="n">
        <v>1</v>
      </c>
      <c r="D661" t="inlineStr">
        <is>
          <t>Expiring</t>
        </is>
      </c>
      <c r="E661" t="inlineStr">
        <is>
          <t>Maybe</t>
        </is>
      </c>
      <c r="F661" s="2" t="inlineStr">
        <is>
          <t>Cut produce | No tamper-proof seal</t>
        </is>
      </c>
      <c r="G661" s="13">
        <f>IFERROR(VLOOKUP(B661, 'Price Data'!A:D, 3, FALSE) * VLOOKUP(B661, 'Price Data'!A:D, 4, FALSE) * C661, "")</f>
        <v/>
      </c>
    </row>
    <row r="662">
      <c r="A662" s="1" t="n">
        <v>45759</v>
      </c>
      <c r="B662" t="inlineStr">
        <is>
          <t>ING-148</t>
        </is>
      </c>
      <c r="C662" t="n">
        <v>1</v>
      </c>
      <c r="D662" t="inlineStr">
        <is>
          <t>Hot Hold</t>
        </is>
      </c>
      <c r="E662" t="inlineStr">
        <is>
          <t>Maybe</t>
        </is>
      </c>
      <c r="F662" t="inlineStr">
        <is>
          <t>Temp. logs req.</t>
        </is>
      </c>
      <c r="G662" s="13">
        <f>IFERROR(VLOOKUP(B662, 'Price Data'!A:D, 3, FALSE) * VLOOKUP(B662, 'Price Data'!A:D, 4, FALSE) * C662, "")</f>
        <v/>
      </c>
    </row>
    <row r="663">
      <c r="A663" s="1" t="n">
        <v>45759</v>
      </c>
      <c r="B663" t="inlineStr">
        <is>
          <t>ING-081</t>
        </is>
      </c>
      <c r="C663" t="n">
        <v>5.5</v>
      </c>
      <c r="D663" t="inlineStr">
        <is>
          <t>Expiring</t>
        </is>
      </c>
      <c r="E663" t="inlineStr">
        <is>
          <t>Maybe</t>
        </is>
      </c>
      <c r="F663" t="inlineStr">
        <is>
          <t>As is</t>
        </is>
      </c>
      <c r="G663" s="13">
        <f>IFERROR(VLOOKUP(B663, 'Price Data'!A:D, 3, FALSE) * VLOOKUP(B663, 'Price Data'!A:D, 4, FALSE) * C663, "")</f>
        <v/>
      </c>
    </row>
    <row r="664">
      <c r="A664" s="1" t="n">
        <v>45759</v>
      </c>
      <c r="B664" t="inlineStr">
        <is>
          <t>ING-128</t>
        </is>
      </c>
      <c r="C664" t="n">
        <v>9.5</v>
      </c>
      <c r="D664" t="inlineStr">
        <is>
          <t>Expiring</t>
        </is>
      </c>
      <c r="E664" t="inlineStr">
        <is>
          <t>Weak Maybe</t>
        </is>
      </c>
      <c r="F664" t="inlineStr">
        <is>
          <t>Cut produce</t>
        </is>
      </c>
      <c r="G664" s="13">
        <f>IFERROR(VLOOKUP(B664, 'Price Data'!A:D, 3, FALSE) * VLOOKUP(B664, 'Price Data'!A:D, 4, FALSE) * C664, "")</f>
        <v/>
      </c>
    </row>
    <row r="665">
      <c r="A665" s="1" t="n">
        <v>45761</v>
      </c>
      <c r="B665" t="inlineStr">
        <is>
          <t>ING-157</t>
        </is>
      </c>
      <c r="C665" t="n">
        <v>1.5</v>
      </c>
      <c r="D665" t="inlineStr">
        <is>
          <t>Hot Hold</t>
        </is>
      </c>
      <c r="E665" t="inlineStr">
        <is>
          <t>Maybe</t>
        </is>
      </c>
      <c r="F665" t="inlineStr">
        <is>
          <t>Temp. logs req.</t>
        </is>
      </c>
      <c r="G665" s="13">
        <f>IFERROR(VLOOKUP(B665, 'Price Data'!A:D, 3, FALSE) * VLOOKUP(B665, 'Price Data'!A:D, 4, FALSE) * C665, "")</f>
        <v/>
      </c>
    </row>
    <row r="666">
      <c r="A666" s="1" t="n">
        <v>45761</v>
      </c>
      <c r="B666" t="inlineStr">
        <is>
          <t>ING-108</t>
        </is>
      </c>
      <c r="C666" t="n">
        <v>0.5</v>
      </c>
      <c r="D666" t="inlineStr">
        <is>
          <t>Expiring</t>
        </is>
      </c>
      <c r="E666" t="inlineStr">
        <is>
          <t>Weak Maybe</t>
        </is>
      </c>
      <c r="F666" t="inlineStr">
        <is>
          <t>No tamper-proof seal</t>
        </is>
      </c>
      <c r="G666" s="13">
        <f>IFERROR(VLOOKUP(B666, 'Price Data'!A:D, 3, FALSE) * VLOOKUP(B666, 'Price Data'!A:D, 4, FALSE) * C666, "")</f>
        <v/>
      </c>
    </row>
    <row r="667">
      <c r="A667" s="1" t="n">
        <v>45761</v>
      </c>
      <c r="B667" t="inlineStr">
        <is>
          <t>ING-136</t>
        </is>
      </c>
      <c r="C667" t="n">
        <v>0.5</v>
      </c>
      <c r="D667" t="inlineStr">
        <is>
          <t>Expiring</t>
        </is>
      </c>
      <c r="E667" t="inlineStr">
        <is>
          <t>Yes</t>
        </is>
      </c>
      <c r="F667" t="inlineStr">
        <is>
          <t>As is</t>
        </is>
      </c>
      <c r="G667" s="13">
        <f>IFERROR(VLOOKUP(B667, 'Price Data'!A:D, 3, FALSE) * VLOOKUP(B667, 'Price Data'!A:D, 4, FALSE) * C667, "")</f>
        <v/>
      </c>
    </row>
    <row r="668">
      <c r="A668" s="1" t="n">
        <v>45761</v>
      </c>
      <c r="B668" t="inlineStr">
        <is>
          <t>ING-120</t>
        </is>
      </c>
      <c r="C668" t="n">
        <v>1.5</v>
      </c>
      <c r="D668" t="inlineStr">
        <is>
          <t>Expiring</t>
        </is>
      </c>
      <c r="E668" t="inlineStr">
        <is>
          <t>Yes</t>
        </is>
      </c>
      <c r="F668" t="inlineStr">
        <is>
          <t>Freeze (req)</t>
        </is>
      </c>
      <c r="G668" s="13">
        <f>IFERROR(VLOOKUP(B668, 'Price Data'!A:D, 3, FALSE) * VLOOKUP(B668, 'Price Data'!A:D, 4, FALSE) * C668, "")</f>
        <v/>
      </c>
    </row>
    <row r="669">
      <c r="A669" s="1" t="n">
        <v>45761</v>
      </c>
      <c r="B669" t="inlineStr">
        <is>
          <t>ING-072</t>
        </is>
      </c>
      <c r="C669" t="n">
        <v>0.5</v>
      </c>
      <c r="D669" t="inlineStr">
        <is>
          <t>Hot Hold</t>
        </is>
      </c>
      <c r="E669" t="inlineStr">
        <is>
          <t>Maybe</t>
        </is>
      </c>
      <c r="F669" t="inlineStr">
        <is>
          <t>Freeze (req)</t>
        </is>
      </c>
      <c r="G669" s="13">
        <f>IFERROR(VLOOKUP(B669, 'Price Data'!A:D, 3, FALSE) * VLOOKUP(B669, 'Price Data'!A:D, 4, FALSE) * C669, "")</f>
        <v/>
      </c>
    </row>
    <row r="670">
      <c r="A670" s="1" t="n">
        <v>45761</v>
      </c>
      <c r="B670" t="inlineStr">
        <is>
          <t>ING-159</t>
        </is>
      </c>
      <c r="C670" t="n">
        <v>1</v>
      </c>
      <c r="D670" t="inlineStr">
        <is>
          <t>Hot Hold</t>
        </is>
      </c>
      <c r="E670" t="inlineStr">
        <is>
          <t>Maybe</t>
        </is>
      </c>
      <c r="F670" t="inlineStr">
        <is>
          <t>Freeze (req)</t>
        </is>
      </c>
      <c r="G670" s="13">
        <f>IFERROR(VLOOKUP(B670, 'Price Data'!A:D, 3, FALSE) * VLOOKUP(B670, 'Price Data'!A:D, 4, FALSE) * C670, "")</f>
        <v/>
      </c>
    </row>
    <row r="671">
      <c r="A671" s="1" t="n">
        <v>45761</v>
      </c>
      <c r="B671" t="inlineStr">
        <is>
          <t>ING-082</t>
        </is>
      </c>
      <c r="C671" t="n">
        <v>1</v>
      </c>
      <c r="D671" t="inlineStr">
        <is>
          <t>Expiring</t>
        </is>
      </c>
      <c r="E671" t="inlineStr">
        <is>
          <t>No</t>
        </is>
      </c>
      <c r="F671" s="2" t="inlineStr">
        <is>
          <t>Cut produce</t>
        </is>
      </c>
      <c r="G671" s="13">
        <f>IFERROR(VLOOKUP(B671, 'Price Data'!A:D, 3, FALSE) * VLOOKUP(B671, 'Price Data'!A:D, 4, FALSE) * C671, "")</f>
        <v/>
      </c>
    </row>
    <row r="672">
      <c r="A672" s="1" t="n">
        <v>45761</v>
      </c>
      <c r="B672" t="inlineStr">
        <is>
          <t>ING-072</t>
        </is>
      </c>
      <c r="C672" t="n">
        <v>1</v>
      </c>
      <c r="D672" t="inlineStr">
        <is>
          <t>Hot Hold</t>
        </is>
      </c>
      <c r="E672" t="inlineStr">
        <is>
          <t>Maybe</t>
        </is>
      </c>
      <c r="F672" t="inlineStr">
        <is>
          <t>Freeze (req)</t>
        </is>
      </c>
      <c r="G672" s="13">
        <f>IFERROR(VLOOKUP(B672, 'Price Data'!A:D, 3, FALSE) * VLOOKUP(B672, 'Price Data'!A:D, 4, FALSE) * C672, "")</f>
        <v/>
      </c>
    </row>
    <row r="673">
      <c r="A673" s="1" t="n">
        <v>45761</v>
      </c>
      <c r="B673" t="inlineStr">
        <is>
          <t>ING-126</t>
        </is>
      </c>
      <c r="C673" t="n">
        <v>1.5</v>
      </c>
      <c r="D673" t="inlineStr">
        <is>
          <t>Expiring</t>
        </is>
      </c>
      <c r="E673" t="inlineStr">
        <is>
          <t>Strong Maybe</t>
        </is>
      </c>
      <c r="F673" t="inlineStr">
        <is>
          <t>Freeze (req) | Seafood</t>
        </is>
      </c>
      <c r="G673" s="13">
        <f>IFERROR(VLOOKUP(B673, 'Price Data'!A:D, 3, FALSE) * VLOOKUP(B673, 'Price Data'!A:D, 4, FALSE) * C673, "")</f>
        <v/>
      </c>
    </row>
    <row r="674">
      <c r="A674" s="1" t="n">
        <v>45761</v>
      </c>
      <c r="B674" t="inlineStr">
        <is>
          <t>ING-060</t>
        </is>
      </c>
      <c r="C674" t="n">
        <v>1</v>
      </c>
      <c r="D674" t="inlineStr">
        <is>
          <t>Expiring</t>
        </is>
      </c>
      <c r="E674" t="inlineStr">
        <is>
          <t>Yes</t>
        </is>
      </c>
      <c r="F674" s="5" t="inlineStr">
        <is>
          <t>Freeze (rec)</t>
        </is>
      </c>
      <c r="G674" s="13">
        <f>IFERROR(VLOOKUP(B674, 'Price Data'!A:D, 3, FALSE) * VLOOKUP(B674, 'Price Data'!A:D, 4, FALSE) * C674, "")</f>
        <v/>
      </c>
    </row>
    <row r="675">
      <c r="A675" s="1" t="n">
        <v>45761</v>
      </c>
      <c r="B675" t="inlineStr">
        <is>
          <t>ING-144</t>
        </is>
      </c>
      <c r="C675" t="n">
        <v>2.5</v>
      </c>
      <c r="D675" t="inlineStr">
        <is>
          <t>Expiring</t>
        </is>
      </c>
      <c r="E675" t="inlineStr">
        <is>
          <t>No</t>
        </is>
      </c>
      <c r="F675" t="inlineStr">
        <is>
          <t>Minimal Utility</t>
        </is>
      </c>
      <c r="G675" s="13">
        <f>IFERROR(VLOOKUP(B675, 'Price Data'!A:D, 3, FALSE) * VLOOKUP(B675, 'Price Data'!A:D, 4, FALSE) * C675, "")</f>
        <v/>
      </c>
    </row>
    <row r="676">
      <c r="A676" s="1" t="n">
        <v>45761</v>
      </c>
      <c r="B676" t="inlineStr">
        <is>
          <t>ING-025</t>
        </is>
      </c>
      <c r="C676" t="n">
        <v>0.5</v>
      </c>
      <c r="D676" t="inlineStr">
        <is>
          <t>Expiring</t>
        </is>
      </c>
      <c r="E676" t="inlineStr">
        <is>
          <t>No</t>
        </is>
      </c>
      <c r="F676" t="inlineStr">
        <is>
          <t>Minimal Utility</t>
        </is>
      </c>
      <c r="G676" s="13">
        <f>IFERROR(VLOOKUP(B676, 'Price Data'!A:D, 3, FALSE) * VLOOKUP(B676, 'Price Data'!A:D, 4, FALSE) * C676, "")</f>
        <v/>
      </c>
    </row>
    <row r="677">
      <c r="A677" s="1" t="n">
        <v>45761</v>
      </c>
      <c r="B677" t="inlineStr">
        <is>
          <t>ING-006</t>
        </is>
      </c>
      <c r="C677" t="n">
        <v>1</v>
      </c>
      <c r="D677" t="inlineStr">
        <is>
          <t>Expiring</t>
        </is>
      </c>
      <c r="E677" t="inlineStr">
        <is>
          <t>Strong Maybe</t>
        </is>
      </c>
      <c r="F677" t="inlineStr">
        <is>
          <t>Freeze (req) | Seafood</t>
        </is>
      </c>
      <c r="G677" s="13">
        <f>IFERROR(VLOOKUP(B677, 'Price Data'!A:D, 3, FALSE) * VLOOKUP(B677, 'Price Data'!A:D, 4, FALSE) * C677, "")</f>
        <v/>
      </c>
    </row>
    <row r="678">
      <c r="A678" s="1" t="n">
        <v>45761</v>
      </c>
      <c r="B678" t="inlineStr">
        <is>
          <t>ING-177</t>
        </is>
      </c>
      <c r="C678" t="n">
        <v>2</v>
      </c>
      <c r="D678" t="inlineStr">
        <is>
          <t>Expiring</t>
        </is>
      </c>
      <c r="E678" t="inlineStr">
        <is>
          <t>Strong Maybe</t>
        </is>
      </c>
      <c r="F678" t="inlineStr">
        <is>
          <t>Freeze (rec)</t>
        </is>
      </c>
      <c r="G678" s="13">
        <f>IFERROR(VLOOKUP(B678, 'Price Data'!A:D, 3, FALSE) * VLOOKUP(B678, 'Price Data'!A:D, 4, FALSE) * C678, "")</f>
        <v/>
      </c>
    </row>
    <row r="679">
      <c r="A679" s="1" t="n">
        <v>45761</v>
      </c>
      <c r="B679" t="inlineStr">
        <is>
          <t>ING-056</t>
        </is>
      </c>
      <c r="C679" t="n">
        <v>0.5</v>
      </c>
      <c r="D679" t="inlineStr">
        <is>
          <t>Hot Hold</t>
        </is>
      </c>
      <c r="E679" t="inlineStr">
        <is>
          <t>No</t>
        </is>
      </c>
      <c r="F679" t="inlineStr">
        <is>
          <t>Temp. logs req. | Cooked produce | Minimal Utility</t>
        </is>
      </c>
      <c r="G679" s="13">
        <f>IFERROR(VLOOKUP(B679, 'Price Data'!A:D, 3, FALSE) * VLOOKUP(B679, 'Price Data'!A:D, 4, FALSE) * C679, "")</f>
        <v/>
      </c>
    </row>
    <row r="680">
      <c r="A680" s="1" t="n">
        <v>45761</v>
      </c>
      <c r="B680" t="inlineStr">
        <is>
          <t>ING-157</t>
        </is>
      </c>
      <c r="C680" t="n">
        <v>1</v>
      </c>
      <c r="D680" t="inlineStr">
        <is>
          <t>Hot Hold</t>
        </is>
      </c>
      <c r="E680" t="inlineStr">
        <is>
          <t>Maybe</t>
        </is>
      </c>
      <c r="F680" t="inlineStr">
        <is>
          <t>Temp. logs req.</t>
        </is>
      </c>
      <c r="G680" s="13">
        <f>IFERROR(VLOOKUP(B680, 'Price Data'!A:D, 3, FALSE) * VLOOKUP(B680, 'Price Data'!A:D, 4, FALSE) * C680, "")</f>
        <v/>
      </c>
    </row>
    <row r="681">
      <c r="A681" s="1" t="n">
        <v>45761</v>
      </c>
      <c r="B681" t="inlineStr">
        <is>
          <t>ING-137</t>
        </is>
      </c>
      <c r="C681" t="n">
        <v>1</v>
      </c>
      <c r="D681" t="inlineStr">
        <is>
          <t>Expiring</t>
        </is>
      </c>
      <c r="E681" t="inlineStr">
        <is>
          <t>Yes</t>
        </is>
      </c>
      <c r="F681" t="inlineStr">
        <is>
          <t>Freeze (req)</t>
        </is>
      </c>
      <c r="G681" s="13">
        <f>IFERROR(VLOOKUP(B681, 'Price Data'!A:D, 3, FALSE) * VLOOKUP(B681, 'Price Data'!A:D, 4, FALSE) * C681, "")</f>
        <v/>
      </c>
    </row>
    <row r="682">
      <c r="A682" s="1" t="n">
        <v>45761</v>
      </c>
      <c r="B682" t="inlineStr">
        <is>
          <t>ING-076</t>
        </is>
      </c>
      <c r="C682" t="n">
        <v>0.5</v>
      </c>
      <c r="D682" t="inlineStr">
        <is>
          <t>Hot Hold</t>
        </is>
      </c>
      <c r="E682" t="inlineStr">
        <is>
          <t>Weak Maybe</t>
        </is>
      </c>
      <c r="F682" t="inlineStr">
        <is>
          <t>Temp. logs req.</t>
        </is>
      </c>
      <c r="G682" s="13">
        <f>IFERROR(VLOOKUP(B682, 'Price Data'!A:D, 3, FALSE) * VLOOKUP(B682, 'Price Data'!A:D, 4, FALSE) * C682, "")</f>
        <v/>
      </c>
    </row>
    <row r="683">
      <c r="A683" s="1" t="n">
        <v>45761</v>
      </c>
      <c r="B683" t="inlineStr">
        <is>
          <t>ING-121</t>
        </is>
      </c>
      <c r="C683" t="n">
        <v>1</v>
      </c>
      <c r="D683" t="inlineStr">
        <is>
          <t>Expiring</t>
        </is>
      </c>
      <c r="E683" t="inlineStr">
        <is>
          <t>Maybe</t>
        </is>
      </c>
      <c r="F683" s="2" t="inlineStr">
        <is>
          <t>No tamper-proof seal</t>
        </is>
      </c>
      <c r="G683" s="13">
        <f>IFERROR(VLOOKUP(B683, 'Price Data'!A:D, 3, FALSE) * VLOOKUP(B683, 'Price Data'!A:D, 4, FALSE) * C683, "")</f>
        <v/>
      </c>
    </row>
    <row r="684">
      <c r="A684" s="1" t="n">
        <v>45761</v>
      </c>
      <c r="B684" t="inlineStr">
        <is>
          <t>ING-042</t>
        </is>
      </c>
      <c r="C684" t="n">
        <v>1</v>
      </c>
      <c r="D684" t="inlineStr">
        <is>
          <t>Expiring</t>
        </is>
      </c>
      <c r="E684" t="inlineStr">
        <is>
          <t>No</t>
        </is>
      </c>
      <c r="F684" t="inlineStr">
        <is>
          <t>Minimal Utility</t>
        </is>
      </c>
      <c r="G684" s="13">
        <f>IFERROR(VLOOKUP(B684, 'Price Data'!A:D, 3, FALSE) * VLOOKUP(B684, 'Price Data'!A:D, 4, FALSE) * C684, "")</f>
        <v/>
      </c>
    </row>
    <row r="685">
      <c r="A685" s="1" t="n">
        <v>45761</v>
      </c>
      <c r="B685" t="inlineStr">
        <is>
          <t>ING-157</t>
        </is>
      </c>
      <c r="C685" t="n">
        <v>0.5</v>
      </c>
      <c r="D685" t="inlineStr">
        <is>
          <t>DISCARDED</t>
        </is>
      </c>
      <c r="E685" t="inlineStr">
        <is>
          <t>No</t>
        </is>
      </c>
      <c r="F685" s="2" t="inlineStr">
        <is>
          <t>DISCARDED</t>
        </is>
      </c>
      <c r="G685" s="13">
        <f>IFERROR(VLOOKUP(B685, 'Price Data'!A:D, 3, FALSE) * VLOOKUP(B685, 'Price Data'!A:D, 4, FALSE) * C685, "")</f>
        <v/>
      </c>
    </row>
    <row r="686">
      <c r="A686" s="1" t="n">
        <v>45761</v>
      </c>
      <c r="B686" t="inlineStr">
        <is>
          <t>ING-048</t>
        </is>
      </c>
      <c r="C686" t="n">
        <v>0.5</v>
      </c>
      <c r="D686" t="inlineStr">
        <is>
          <t>Expiring</t>
        </is>
      </c>
      <c r="E686" t="inlineStr">
        <is>
          <t>No</t>
        </is>
      </c>
      <c r="F686" t="inlineStr">
        <is>
          <t>No tamper-proof seal</t>
        </is>
      </c>
      <c r="G686" s="13">
        <f>IFERROR(VLOOKUP(B686, 'Price Data'!A:D, 3, FALSE) * VLOOKUP(B686, 'Price Data'!A:D, 4, FALSE) * C686, "")</f>
        <v/>
      </c>
    </row>
    <row r="687">
      <c r="A687" s="1" t="n">
        <v>45761</v>
      </c>
      <c r="B687" t="inlineStr">
        <is>
          <t>ING-156</t>
        </is>
      </c>
      <c r="C687" t="n">
        <v>1</v>
      </c>
      <c r="D687" t="inlineStr">
        <is>
          <t>Expiring</t>
        </is>
      </c>
      <c r="E687" t="inlineStr">
        <is>
          <t>Yes</t>
        </is>
      </c>
      <c r="F687" s="2" t="inlineStr">
        <is>
          <t>As is</t>
        </is>
      </c>
      <c r="G687" s="13">
        <f>IFERROR(VLOOKUP(B687, 'Price Data'!A:D, 3, FALSE) * VLOOKUP(B687, 'Price Data'!A:D, 4, FALSE) * C687, "")</f>
        <v/>
      </c>
    </row>
    <row r="688">
      <c r="A688" s="1" t="n">
        <v>45761</v>
      </c>
      <c r="B688" t="inlineStr">
        <is>
          <t>ING-100</t>
        </is>
      </c>
      <c r="C688" t="n">
        <v>2.5</v>
      </c>
      <c r="D688" t="inlineStr">
        <is>
          <t>Expiring</t>
        </is>
      </c>
      <c r="E688" t="inlineStr">
        <is>
          <t>Weak Maybe</t>
        </is>
      </c>
      <c r="F688" t="inlineStr">
        <is>
          <t>As is</t>
        </is>
      </c>
      <c r="G688" s="13">
        <f>IFERROR(VLOOKUP(B688, 'Price Data'!A:D, 3, FALSE) * VLOOKUP(B688, 'Price Data'!A:D, 4, FALSE) * C688, "")</f>
        <v/>
      </c>
    </row>
    <row r="689">
      <c r="A689" s="1" t="n">
        <v>45761</v>
      </c>
      <c r="B689" t="inlineStr">
        <is>
          <t>ING-100</t>
        </is>
      </c>
      <c r="C689" t="n">
        <v>1.5</v>
      </c>
      <c r="D689" t="inlineStr">
        <is>
          <t>Hot Hold</t>
        </is>
      </c>
      <c r="E689" t="inlineStr">
        <is>
          <t>Weak Maybe</t>
        </is>
      </c>
      <c r="F689" t="inlineStr">
        <is>
          <t>Temp. logs req.</t>
        </is>
      </c>
      <c r="G689" s="13">
        <f>IFERROR(VLOOKUP(B689, 'Price Data'!A:D, 3, FALSE) * VLOOKUP(B689, 'Price Data'!A:D, 4, FALSE) * C689, "")</f>
        <v/>
      </c>
    </row>
    <row r="690">
      <c r="A690" s="1" t="n">
        <v>45761</v>
      </c>
      <c r="B690" t="inlineStr">
        <is>
          <t>ING-144</t>
        </is>
      </c>
      <c r="C690" t="n">
        <v>2</v>
      </c>
      <c r="D690" t="inlineStr">
        <is>
          <t>DISCARDED</t>
        </is>
      </c>
      <c r="E690" t="inlineStr">
        <is>
          <t>No</t>
        </is>
      </c>
      <c r="F690" t="inlineStr">
        <is>
          <t>Minimal Utility</t>
        </is>
      </c>
      <c r="G690" s="13">
        <f>IFERROR(VLOOKUP(B690, 'Price Data'!A:D, 3, FALSE) * VLOOKUP(B690, 'Price Data'!A:D, 4, FALSE) * C690, "")</f>
        <v/>
      </c>
    </row>
    <row r="691">
      <c r="A691" s="1" t="n">
        <v>45761</v>
      </c>
      <c r="B691" t="inlineStr">
        <is>
          <t>ING-056</t>
        </is>
      </c>
      <c r="C691" t="n">
        <v>7.5</v>
      </c>
      <c r="D691" t="inlineStr">
        <is>
          <t>Hot Hold</t>
        </is>
      </c>
      <c r="E691" t="inlineStr">
        <is>
          <t>No</t>
        </is>
      </c>
      <c r="F691" t="inlineStr">
        <is>
          <t>Temp. logs req. | Cooked produce | Minimal Utility</t>
        </is>
      </c>
      <c r="G691" s="13">
        <f>IFERROR(VLOOKUP(B691, 'Price Data'!A:D, 3, FALSE) * VLOOKUP(B691, 'Price Data'!A:D, 4, FALSE) * C691, "")</f>
        <v/>
      </c>
    </row>
    <row r="692">
      <c r="A692" s="1" t="n">
        <v>45761</v>
      </c>
      <c r="B692" t="inlineStr">
        <is>
          <t>ING-159</t>
        </is>
      </c>
      <c r="C692" t="n">
        <v>1</v>
      </c>
      <c r="D692" t="inlineStr">
        <is>
          <t>Hot Hold</t>
        </is>
      </c>
      <c r="E692" t="inlineStr">
        <is>
          <t>Maybe</t>
        </is>
      </c>
      <c r="F692" t="inlineStr">
        <is>
          <t>Freeze (req)</t>
        </is>
      </c>
      <c r="G692" s="13">
        <f>IFERROR(VLOOKUP(B692, 'Price Data'!A:D, 3, FALSE) * VLOOKUP(B692, 'Price Data'!A:D, 4, FALSE) * C692, "")</f>
        <v/>
      </c>
    </row>
    <row r="693">
      <c r="A693" s="1" t="n">
        <v>45762</v>
      </c>
      <c r="B693" t="inlineStr">
        <is>
          <t>ING-149</t>
        </is>
      </c>
      <c r="C693" t="n">
        <v>1</v>
      </c>
      <c r="D693" t="inlineStr">
        <is>
          <t>Expiring</t>
        </is>
      </c>
      <c r="E693" t="inlineStr">
        <is>
          <t>Strong Maybe</t>
        </is>
      </c>
      <c r="F693" t="inlineStr">
        <is>
          <t>Freeze (rec)</t>
        </is>
      </c>
      <c r="G693" s="13">
        <f>IFERROR(VLOOKUP(B693, 'Price Data'!A:D, 3, FALSE) * VLOOKUP(B693, 'Price Data'!A:D, 4, FALSE) * C693, "")</f>
        <v/>
      </c>
    </row>
    <row r="694">
      <c r="A694" s="1" t="n">
        <v>45762</v>
      </c>
      <c r="B694" t="inlineStr">
        <is>
          <t>ING-106</t>
        </is>
      </c>
      <c r="C694" t="n">
        <v>0.5</v>
      </c>
      <c r="D694" t="inlineStr">
        <is>
          <t>Hot Hold</t>
        </is>
      </c>
      <c r="E694" t="inlineStr">
        <is>
          <t>Weak Maybe</t>
        </is>
      </c>
      <c r="F694" t="inlineStr">
        <is>
          <t>Temp. logs req.</t>
        </is>
      </c>
      <c r="G694" s="13">
        <f>IFERROR(VLOOKUP(B694, 'Price Data'!A:D, 3, FALSE) * VLOOKUP(B694, 'Price Data'!A:D, 4, FALSE) * C694, "")</f>
        <v/>
      </c>
    </row>
    <row r="695">
      <c r="A695" s="1" t="n">
        <v>45762</v>
      </c>
      <c r="B695" t="inlineStr">
        <is>
          <t>ING-027</t>
        </is>
      </c>
      <c r="C695" t="n">
        <v>1</v>
      </c>
      <c r="D695" t="inlineStr">
        <is>
          <t>Expiring</t>
        </is>
      </c>
      <c r="E695" t="inlineStr">
        <is>
          <t>No</t>
        </is>
      </c>
      <c r="F695" t="inlineStr">
        <is>
          <t>Minimal Utility</t>
        </is>
      </c>
      <c r="G695" s="13">
        <f>IFERROR(VLOOKUP(B695, 'Price Data'!A:D, 3, FALSE) * VLOOKUP(B695, 'Price Data'!A:D, 4, FALSE) * C695, "")</f>
        <v/>
      </c>
    </row>
    <row r="696">
      <c r="A696" s="1" t="n">
        <v>45762</v>
      </c>
      <c r="B696" t="inlineStr">
        <is>
          <t>ING-061</t>
        </is>
      </c>
      <c r="C696" t="n">
        <v>1</v>
      </c>
      <c r="D696" t="inlineStr">
        <is>
          <t>Hot Hold</t>
        </is>
      </c>
      <c r="E696" t="inlineStr">
        <is>
          <t>Maybe</t>
        </is>
      </c>
      <c r="F696" s="2" t="inlineStr">
        <is>
          <t>Temp. logs req.</t>
        </is>
      </c>
      <c r="G696" s="13">
        <f>IFERROR(VLOOKUP(B696, 'Price Data'!A:D, 3, FALSE) * VLOOKUP(B696, 'Price Data'!A:D, 4, FALSE) * C696, "")</f>
        <v/>
      </c>
    </row>
    <row r="697">
      <c r="A697" s="1" t="n">
        <v>45762</v>
      </c>
      <c r="B697" t="inlineStr">
        <is>
          <t>ING-136</t>
        </is>
      </c>
      <c r="C697" t="n">
        <v>1</v>
      </c>
      <c r="D697" t="inlineStr">
        <is>
          <t>DISCARDED</t>
        </is>
      </c>
      <c r="E697" t="inlineStr">
        <is>
          <t>No</t>
        </is>
      </c>
      <c r="F697" t="inlineStr">
        <is>
          <t>N/A</t>
        </is>
      </c>
      <c r="G697" s="13">
        <f>IFERROR(VLOOKUP(B697, 'Price Data'!A:D, 3, FALSE) * VLOOKUP(B697, 'Price Data'!A:D, 4, FALSE) * C697, "")</f>
        <v/>
      </c>
    </row>
    <row r="698">
      <c r="A698" s="1" t="n">
        <v>45762</v>
      </c>
      <c r="B698" t="inlineStr">
        <is>
          <t>ING-129</t>
        </is>
      </c>
      <c r="C698" t="n">
        <v>1</v>
      </c>
      <c r="D698" t="inlineStr">
        <is>
          <t>Hot Hold</t>
        </is>
      </c>
      <c r="E698" t="inlineStr">
        <is>
          <t>Maybe</t>
        </is>
      </c>
      <c r="F698" s="2" t="inlineStr">
        <is>
          <t>Temp. logs req.</t>
        </is>
      </c>
      <c r="G698" s="13">
        <f>IFERROR(VLOOKUP(B698, 'Price Data'!A:D, 3, FALSE) * VLOOKUP(B698, 'Price Data'!A:D, 4, FALSE) * C698, "")</f>
        <v/>
      </c>
    </row>
    <row r="699">
      <c r="A699" s="1" t="n">
        <v>45762</v>
      </c>
      <c r="B699" t="inlineStr">
        <is>
          <t>ING-041</t>
        </is>
      </c>
      <c r="C699" t="n">
        <v>1</v>
      </c>
      <c r="D699" t="inlineStr">
        <is>
          <t>Hot Hold</t>
        </is>
      </c>
      <c r="E699" t="inlineStr">
        <is>
          <t>Weak Maybe</t>
        </is>
      </c>
      <c r="F699" t="inlineStr">
        <is>
          <t>Temp. logs req.</t>
        </is>
      </c>
      <c r="G699" s="13">
        <f>IFERROR(VLOOKUP(B699, 'Price Data'!A:D, 3, FALSE) * VLOOKUP(B699, 'Price Data'!A:D, 4, FALSE) * C699, "")</f>
        <v/>
      </c>
    </row>
    <row r="700">
      <c r="A700" s="1" t="n">
        <v>45762</v>
      </c>
      <c r="B700" t="inlineStr">
        <is>
          <t>ING-157</t>
        </is>
      </c>
      <c r="C700" t="n">
        <v>2.5</v>
      </c>
      <c r="D700" t="inlineStr">
        <is>
          <t>Hot Hold</t>
        </is>
      </c>
      <c r="E700" t="inlineStr">
        <is>
          <t>Maybe</t>
        </is>
      </c>
      <c r="F700" t="inlineStr">
        <is>
          <t>Temp. logs req.</t>
        </is>
      </c>
      <c r="G700" s="13">
        <f>IFERROR(VLOOKUP(B700, 'Price Data'!A:D, 3, FALSE) * VLOOKUP(B700, 'Price Data'!A:D, 4, FALSE) * C700, "")</f>
        <v/>
      </c>
    </row>
    <row r="701">
      <c r="A701" s="1" t="n">
        <v>45762</v>
      </c>
      <c r="B701" t="inlineStr">
        <is>
          <t>ING-144</t>
        </is>
      </c>
      <c r="C701" t="n">
        <v>1.5</v>
      </c>
      <c r="D701" t="inlineStr">
        <is>
          <t>Expiring</t>
        </is>
      </c>
      <c r="E701" t="inlineStr">
        <is>
          <t>No</t>
        </is>
      </c>
      <c r="F701" t="inlineStr">
        <is>
          <t>Minimal Utility</t>
        </is>
      </c>
      <c r="G701" s="13">
        <f>IFERROR(VLOOKUP(B701, 'Price Data'!A:D, 3, FALSE) * VLOOKUP(B701, 'Price Data'!A:D, 4, FALSE) * C701, "")</f>
        <v/>
      </c>
    </row>
    <row r="702">
      <c r="A702" s="1" t="n">
        <v>45762</v>
      </c>
      <c r="B702" t="inlineStr">
        <is>
          <t>ING-106</t>
        </is>
      </c>
      <c r="C702" t="n">
        <v>2</v>
      </c>
      <c r="D702" t="inlineStr">
        <is>
          <t>Hot Hold</t>
        </is>
      </c>
      <c r="E702" t="inlineStr">
        <is>
          <t>Maybe</t>
        </is>
      </c>
      <c r="F702" t="inlineStr">
        <is>
          <t>Temp. logs req.</t>
        </is>
      </c>
      <c r="G702" s="13">
        <f>IFERROR(VLOOKUP(B702, 'Price Data'!A:D, 3, FALSE) * VLOOKUP(B702, 'Price Data'!A:D, 4, FALSE) * C702, "")</f>
        <v/>
      </c>
    </row>
    <row r="703">
      <c r="A703" s="1" t="n">
        <v>45762</v>
      </c>
      <c r="B703" t="inlineStr">
        <is>
          <t>ING-036</t>
        </is>
      </c>
      <c r="C703" t="n">
        <v>1</v>
      </c>
      <c r="D703" t="inlineStr">
        <is>
          <t>Expiring</t>
        </is>
      </c>
      <c r="E703" t="inlineStr">
        <is>
          <t>Strong Maybe</t>
        </is>
      </c>
      <c r="F703" t="inlineStr">
        <is>
          <t>Freeze (req) | Seafood</t>
        </is>
      </c>
      <c r="G703" s="13">
        <f>IFERROR(VLOOKUP(B703, 'Price Data'!A:D, 3, FALSE) * VLOOKUP(B703, 'Price Data'!A:D, 4, FALSE) * C703, "")</f>
        <v/>
      </c>
    </row>
    <row r="704">
      <c r="A704" s="1" t="n">
        <v>45762</v>
      </c>
      <c r="B704" t="inlineStr">
        <is>
          <t>ING-112</t>
        </is>
      </c>
      <c r="C704" t="n">
        <v>1</v>
      </c>
      <c r="D704" t="inlineStr">
        <is>
          <t>Expiring</t>
        </is>
      </c>
      <c r="E704" t="inlineStr">
        <is>
          <t>No</t>
        </is>
      </c>
      <c r="F704" t="inlineStr">
        <is>
          <t>No tamper-proof seal</t>
        </is>
      </c>
      <c r="G704" s="13">
        <f>IFERROR(VLOOKUP(B704, 'Price Data'!A:D, 3, FALSE) * VLOOKUP(B704, 'Price Data'!A:D, 4, FALSE) * C704, "")</f>
        <v/>
      </c>
    </row>
    <row r="705">
      <c r="A705" s="1" t="n">
        <v>45762</v>
      </c>
      <c r="B705" t="inlineStr">
        <is>
          <t>ING-128</t>
        </is>
      </c>
      <c r="C705" t="n">
        <v>1.5</v>
      </c>
      <c r="D705" t="inlineStr">
        <is>
          <t>Expiring</t>
        </is>
      </c>
      <c r="E705" t="inlineStr">
        <is>
          <t>Weak Maybe</t>
        </is>
      </c>
      <c r="F705" t="inlineStr">
        <is>
          <t>Cut produce</t>
        </is>
      </c>
      <c r="G705" s="13">
        <f>IFERROR(VLOOKUP(B705, 'Price Data'!A:D, 3, FALSE) * VLOOKUP(B705, 'Price Data'!A:D, 4, FALSE) * C705, "")</f>
        <v/>
      </c>
    </row>
    <row r="706">
      <c r="A706" s="1" t="n">
        <v>45762</v>
      </c>
      <c r="B706" t="inlineStr">
        <is>
          <t>ING-064</t>
        </is>
      </c>
      <c r="C706" t="n">
        <v>1</v>
      </c>
      <c r="D706" t="inlineStr">
        <is>
          <t>Expiring</t>
        </is>
      </c>
      <c r="E706" t="inlineStr">
        <is>
          <t>No</t>
        </is>
      </c>
      <c r="F706" t="inlineStr">
        <is>
          <t>Minimal Utility</t>
        </is>
      </c>
      <c r="G706" s="13">
        <f>IFERROR(VLOOKUP(B706, 'Price Data'!A:D, 3, FALSE) * VLOOKUP(B706, 'Price Data'!A:D, 4, FALSE) * C706, "")</f>
        <v/>
      </c>
    </row>
    <row r="707">
      <c r="A707" s="1" t="n">
        <v>45762</v>
      </c>
      <c r="B707" t="inlineStr">
        <is>
          <t>ING-129</t>
        </is>
      </c>
      <c r="C707" t="n">
        <v>1.5</v>
      </c>
      <c r="D707" t="inlineStr">
        <is>
          <t>Hot Hold</t>
        </is>
      </c>
      <c r="E707" t="inlineStr">
        <is>
          <t>Maybe</t>
        </is>
      </c>
      <c r="F707" t="inlineStr">
        <is>
          <t>Temp. logs req.</t>
        </is>
      </c>
      <c r="G707" s="13">
        <f>IFERROR(VLOOKUP(B707, 'Price Data'!A:D, 3, FALSE) * VLOOKUP(B707, 'Price Data'!A:D, 4, FALSE) * C707, "")</f>
        <v/>
      </c>
    </row>
    <row r="708">
      <c r="A708" s="1" t="n">
        <v>45762</v>
      </c>
      <c r="B708" t="inlineStr">
        <is>
          <t>ING-009</t>
        </is>
      </c>
      <c r="C708" t="n">
        <v>3</v>
      </c>
      <c r="D708" t="inlineStr">
        <is>
          <t>Expiring</t>
        </is>
      </c>
      <c r="E708" t="inlineStr">
        <is>
          <t>Yes</t>
        </is>
      </c>
      <c r="F708" t="inlineStr">
        <is>
          <t>As is</t>
        </is>
      </c>
      <c r="G708" s="13">
        <f>IFERROR(VLOOKUP(B708, 'Price Data'!A:D, 3, FALSE) * VLOOKUP(B708, 'Price Data'!A:D, 4, FALSE) * C708, "")</f>
        <v/>
      </c>
    </row>
    <row r="709">
      <c r="A709" s="1" t="n">
        <v>45762</v>
      </c>
      <c r="B709" t="inlineStr">
        <is>
          <t>ING-157</t>
        </is>
      </c>
      <c r="C709" t="n">
        <v>26.5</v>
      </c>
      <c r="D709" t="inlineStr">
        <is>
          <t>Expiring</t>
        </is>
      </c>
      <c r="E709" t="inlineStr">
        <is>
          <t>Yes</t>
        </is>
      </c>
      <c r="F709" s="5" t="inlineStr">
        <is>
          <t>As is</t>
        </is>
      </c>
      <c r="G709" s="13">
        <f>IFERROR(VLOOKUP(B709, 'Price Data'!A:D, 3, FALSE) * VLOOKUP(B709, 'Price Data'!A:D, 4, FALSE) * C709, "")</f>
        <v/>
      </c>
    </row>
    <row r="710">
      <c r="A710" s="1" t="n">
        <v>45762</v>
      </c>
      <c r="B710" t="inlineStr">
        <is>
          <t>ING-029</t>
        </is>
      </c>
      <c r="C710" t="n">
        <v>11.5</v>
      </c>
      <c r="D710" t="inlineStr">
        <is>
          <t>Expiring</t>
        </is>
      </c>
      <c r="E710" t="inlineStr">
        <is>
          <t>Yes</t>
        </is>
      </c>
      <c r="F710" t="inlineStr">
        <is>
          <t>Freeze (req)</t>
        </is>
      </c>
      <c r="G710" s="13">
        <f>IFERROR(VLOOKUP(B710, 'Price Data'!A:D, 3, FALSE) * VLOOKUP(B710, 'Price Data'!A:D, 4, FALSE) * C710, "")</f>
        <v/>
      </c>
    </row>
    <row r="711">
      <c r="A711" s="1" t="n">
        <v>45762</v>
      </c>
      <c r="B711" t="inlineStr">
        <is>
          <t>ING-128</t>
        </is>
      </c>
      <c r="C711" t="n">
        <v>3</v>
      </c>
      <c r="D711" t="inlineStr">
        <is>
          <t>Hot Hold</t>
        </is>
      </c>
      <c r="E711" t="inlineStr">
        <is>
          <t>No</t>
        </is>
      </c>
      <c r="F711" t="inlineStr">
        <is>
          <t>Temp. logs req., Cut produce</t>
        </is>
      </c>
      <c r="G711" s="13">
        <f>IFERROR(VLOOKUP(B711, 'Price Data'!A:D, 3, FALSE) * VLOOKUP(B711, 'Price Data'!A:D, 4, FALSE) * C711, "")</f>
        <v/>
      </c>
    </row>
    <row r="712">
      <c r="A712" s="1" t="n">
        <v>45762</v>
      </c>
      <c r="B712" t="inlineStr">
        <is>
          <t>ING-028</t>
        </is>
      </c>
      <c r="C712" t="n">
        <v>3.5</v>
      </c>
      <c r="D712" t="inlineStr">
        <is>
          <t>Hot Hold</t>
        </is>
      </c>
      <c r="E712" t="inlineStr">
        <is>
          <t>No</t>
        </is>
      </c>
      <c r="F712" t="inlineStr">
        <is>
          <t>No Date | Temp. logs req.</t>
        </is>
      </c>
      <c r="G712" s="13">
        <f>IFERROR(VLOOKUP(B712, 'Price Data'!A:D, 3, FALSE) * VLOOKUP(B712, 'Price Data'!A:D, 4, FALSE) * C712, "")</f>
        <v/>
      </c>
    </row>
    <row r="713">
      <c r="A713" s="1" t="n">
        <v>45762</v>
      </c>
      <c r="B713" t="inlineStr">
        <is>
          <t>ING-157</t>
        </is>
      </c>
      <c r="C713" t="n">
        <v>1.5</v>
      </c>
      <c r="D713" t="inlineStr">
        <is>
          <t>Hot Hold</t>
        </is>
      </c>
      <c r="E713" t="inlineStr">
        <is>
          <t>Maybe</t>
        </is>
      </c>
      <c r="F713" s="2" t="inlineStr">
        <is>
          <t>Temp. logs req.</t>
        </is>
      </c>
      <c r="G713" s="13">
        <f>IFERROR(VLOOKUP(B713, 'Price Data'!A:D, 3, FALSE) * VLOOKUP(B713, 'Price Data'!A:D, 4, FALSE) * C713, "")</f>
        <v/>
      </c>
    </row>
    <row r="714">
      <c r="A714" s="1" t="n">
        <v>45762</v>
      </c>
      <c r="B714" t="inlineStr">
        <is>
          <t>ING-178</t>
        </is>
      </c>
      <c r="C714" t="n">
        <v>0.5</v>
      </c>
      <c r="D714" t="inlineStr">
        <is>
          <t>Expiring</t>
        </is>
      </c>
      <c r="E714" t="inlineStr">
        <is>
          <t>Maybe</t>
        </is>
      </c>
      <c r="F714" s="2" t="inlineStr">
        <is>
          <t>Cut produce</t>
        </is>
      </c>
      <c r="G714" s="13">
        <f>IFERROR(VLOOKUP(B714, 'Price Data'!A:D, 3, FALSE) * VLOOKUP(B714, 'Price Data'!A:D, 4, FALSE) * C714, "")</f>
        <v/>
      </c>
    </row>
    <row r="715">
      <c r="A715" s="1" t="n">
        <v>45762</v>
      </c>
      <c r="B715" t="inlineStr">
        <is>
          <t>ING-163</t>
        </is>
      </c>
      <c r="C715" t="n">
        <v>3.5</v>
      </c>
      <c r="D715" t="inlineStr">
        <is>
          <t>Hot Hold</t>
        </is>
      </c>
      <c r="E715" t="inlineStr">
        <is>
          <t>Weak Maybe</t>
        </is>
      </c>
      <c r="F715" s="2" t="inlineStr">
        <is>
          <t>Temp. logs req.</t>
        </is>
      </c>
      <c r="G715" s="13">
        <f>IFERROR(VLOOKUP(B715, 'Price Data'!A:D, 3, FALSE) * VLOOKUP(B715, 'Price Data'!A:D, 4, FALSE) * C715, "")</f>
        <v/>
      </c>
    </row>
    <row r="716">
      <c r="A716" s="1" t="n">
        <v>45762</v>
      </c>
      <c r="B716" t="inlineStr">
        <is>
          <t>ING-157</t>
        </is>
      </c>
      <c r="C716" t="n">
        <v>5</v>
      </c>
      <c r="D716" t="inlineStr">
        <is>
          <t>Hot Hold</t>
        </is>
      </c>
      <c r="E716" t="inlineStr">
        <is>
          <t>Maybe</t>
        </is>
      </c>
      <c r="F716" t="inlineStr">
        <is>
          <t>Temp. logs req.</t>
        </is>
      </c>
      <c r="G716" s="13">
        <f>IFERROR(VLOOKUP(B716, 'Price Data'!A:D, 3, FALSE) * VLOOKUP(B716, 'Price Data'!A:D, 4, FALSE) * C716, "")</f>
        <v/>
      </c>
    </row>
    <row r="717">
      <c r="A717" s="1" t="n">
        <v>45762</v>
      </c>
      <c r="B717" t="inlineStr">
        <is>
          <t>ING-015</t>
        </is>
      </c>
      <c r="C717" t="n">
        <v>0.5</v>
      </c>
      <c r="D717" t="inlineStr">
        <is>
          <t>Expiring</t>
        </is>
      </c>
      <c r="E717" t="inlineStr">
        <is>
          <t>No</t>
        </is>
      </c>
      <c r="F717" t="inlineStr">
        <is>
          <t>Freeze (req), No tamper-proof seal</t>
        </is>
      </c>
      <c r="G717" s="13">
        <f>IFERROR(VLOOKUP(B717, 'Price Data'!A:D, 3, FALSE) * VLOOKUP(B717, 'Price Data'!A:D, 4, FALSE) * C717, "")</f>
        <v/>
      </c>
    </row>
    <row r="718">
      <c r="A718" s="1" t="n">
        <v>45762</v>
      </c>
      <c r="B718" t="inlineStr">
        <is>
          <t>ING-019</t>
        </is>
      </c>
      <c r="C718" t="n">
        <v>0.5</v>
      </c>
      <c r="D718" t="inlineStr">
        <is>
          <t>Expiring</t>
        </is>
      </c>
      <c r="E718" t="inlineStr">
        <is>
          <t>Weak Maybe</t>
        </is>
      </c>
      <c r="F718" t="inlineStr">
        <is>
          <t>No tamper-proof seal, Freeze (req)</t>
        </is>
      </c>
      <c r="G718" s="13">
        <f>IFERROR(VLOOKUP(B718, 'Price Data'!A:D, 3, FALSE) * VLOOKUP(B718, 'Price Data'!A:D, 4, FALSE) * C718, "")</f>
        <v/>
      </c>
    </row>
    <row r="719">
      <c r="A719" s="1" t="n">
        <v>45762</v>
      </c>
      <c r="B719" t="inlineStr">
        <is>
          <t>ING-128</t>
        </is>
      </c>
      <c r="C719" t="n">
        <v>1</v>
      </c>
      <c r="D719" t="inlineStr">
        <is>
          <t>Hot Hold</t>
        </is>
      </c>
      <c r="E719" t="inlineStr">
        <is>
          <t>No</t>
        </is>
      </c>
      <c r="F719" t="inlineStr">
        <is>
          <t>Temp. logs req., Cut produce</t>
        </is>
      </c>
      <c r="G719" s="13">
        <f>IFERROR(VLOOKUP(B719, 'Price Data'!A:D, 3, FALSE) * VLOOKUP(B719, 'Price Data'!A:D, 4, FALSE) * C719, "")</f>
        <v/>
      </c>
    </row>
    <row r="720">
      <c r="A720" s="1" t="n">
        <v>45762</v>
      </c>
      <c r="B720" t="inlineStr">
        <is>
          <t>ING-111</t>
        </is>
      </c>
      <c r="C720" t="n">
        <v>1</v>
      </c>
      <c r="D720" t="inlineStr">
        <is>
          <t>Expiring</t>
        </is>
      </c>
      <c r="E720" t="inlineStr">
        <is>
          <t>No</t>
        </is>
      </c>
      <c r="F720" t="inlineStr">
        <is>
          <t>No Date</t>
        </is>
      </c>
      <c r="G720" s="13">
        <f>IFERROR(VLOOKUP(B720, 'Price Data'!A:D, 3, FALSE) * VLOOKUP(B720, 'Price Data'!A:D, 4, FALSE) * C720, "")</f>
        <v/>
      </c>
    </row>
    <row r="721">
      <c r="A721" s="1" t="n">
        <v>45762</v>
      </c>
      <c r="B721" t="inlineStr">
        <is>
          <t>ING-066</t>
        </is>
      </c>
      <c r="C721" t="n">
        <v>0.5</v>
      </c>
      <c r="D721" t="inlineStr">
        <is>
          <t>Expiring</t>
        </is>
      </c>
      <c r="E721" t="inlineStr">
        <is>
          <t>No</t>
        </is>
      </c>
      <c r="F721" t="inlineStr">
        <is>
          <t>No tamper-proof seal</t>
        </is>
      </c>
      <c r="G721" s="13">
        <f>IFERROR(VLOOKUP(B721, 'Price Data'!A:D, 3, FALSE) * VLOOKUP(B721, 'Price Data'!A:D, 4, FALSE) * C721, "")</f>
        <v/>
      </c>
    </row>
    <row r="722">
      <c r="A722" s="1" t="n">
        <v>45762</v>
      </c>
      <c r="B722" t="inlineStr">
        <is>
          <t>ING-120</t>
        </is>
      </c>
      <c r="C722" t="n">
        <v>1</v>
      </c>
      <c r="D722" t="inlineStr">
        <is>
          <t>Expiring</t>
        </is>
      </c>
      <c r="E722" t="inlineStr">
        <is>
          <t>Yes</t>
        </is>
      </c>
      <c r="F722" t="inlineStr">
        <is>
          <t>Freeze (req)</t>
        </is>
      </c>
      <c r="G722" s="13">
        <f>IFERROR(VLOOKUP(B722, 'Price Data'!A:D, 3, FALSE) * VLOOKUP(B722, 'Price Data'!A:D, 4, FALSE) * C722, "")</f>
        <v/>
      </c>
    </row>
    <row r="723">
      <c r="A723" s="1" t="n">
        <v>45763</v>
      </c>
      <c r="B723" t="inlineStr">
        <is>
          <t>ING-106</t>
        </is>
      </c>
      <c r="C723" t="n">
        <v>1</v>
      </c>
      <c r="D723" t="inlineStr">
        <is>
          <t>Hot Hold</t>
        </is>
      </c>
      <c r="E723" t="inlineStr">
        <is>
          <t>Weak Maybe</t>
        </is>
      </c>
      <c r="F723" t="inlineStr">
        <is>
          <t>Temp. logs req.</t>
        </is>
      </c>
      <c r="G723" s="13">
        <f>IFERROR(VLOOKUP(B723, 'Price Data'!A:D, 3, FALSE) * VLOOKUP(B723, 'Price Data'!A:D, 4, FALSE) * C723, "")</f>
        <v/>
      </c>
    </row>
    <row r="724">
      <c r="A724" s="1" t="n">
        <v>45763</v>
      </c>
      <c r="B724" t="inlineStr">
        <is>
          <t>ING-035</t>
        </is>
      </c>
      <c r="C724" t="n">
        <v>19</v>
      </c>
      <c r="D724" t="inlineStr">
        <is>
          <t>Expiring</t>
        </is>
      </c>
      <c r="E724" t="inlineStr">
        <is>
          <t>Maybe</t>
        </is>
      </c>
      <c r="F724" t="inlineStr">
        <is>
          <t>As is</t>
        </is>
      </c>
      <c r="G724" s="13">
        <f>IFERROR(VLOOKUP(B724, 'Price Data'!A:D, 3, FALSE) * VLOOKUP(B724, 'Price Data'!A:D, 4, FALSE) * C724, "")</f>
        <v/>
      </c>
    </row>
    <row r="725">
      <c r="A725" s="1" t="n">
        <v>45763</v>
      </c>
      <c r="B725" t="inlineStr">
        <is>
          <t>ING-040</t>
        </is>
      </c>
      <c r="C725" t="n">
        <v>0.5</v>
      </c>
      <c r="D725" t="inlineStr">
        <is>
          <t>Expiring</t>
        </is>
      </c>
      <c r="E725" t="inlineStr">
        <is>
          <t>No</t>
        </is>
      </c>
      <c r="F725" t="inlineStr">
        <is>
          <t>Minimal Utility</t>
        </is>
      </c>
      <c r="G725" s="13">
        <f>IFERROR(VLOOKUP(B725, 'Price Data'!A:D, 3, FALSE) * VLOOKUP(B725, 'Price Data'!A:D, 4, FALSE) * C725, "")</f>
        <v/>
      </c>
    </row>
    <row r="726">
      <c r="A726" s="1" t="n">
        <v>45763</v>
      </c>
      <c r="B726" t="inlineStr">
        <is>
          <t>ING-061</t>
        </is>
      </c>
      <c r="C726" t="n">
        <v>1</v>
      </c>
      <c r="D726" t="inlineStr">
        <is>
          <t>Hot Hold</t>
        </is>
      </c>
      <c r="E726" t="inlineStr">
        <is>
          <t>Maybe</t>
        </is>
      </c>
      <c r="F726" t="inlineStr">
        <is>
          <t>Temp. logs req.</t>
        </is>
      </c>
      <c r="G726" s="13">
        <f>IFERROR(VLOOKUP(B726, 'Price Data'!A:D, 3, FALSE) * VLOOKUP(B726, 'Price Data'!A:D, 4, FALSE) * C726, "")</f>
        <v/>
      </c>
    </row>
    <row r="727">
      <c r="A727" s="1" t="n">
        <v>45763</v>
      </c>
      <c r="B727" t="inlineStr">
        <is>
          <t>ING-115</t>
        </is>
      </c>
      <c r="C727" t="n">
        <v>2.5</v>
      </c>
      <c r="D727" t="inlineStr">
        <is>
          <t>Expiring</t>
        </is>
      </c>
      <c r="E727" t="inlineStr">
        <is>
          <t>Maybe</t>
        </is>
      </c>
      <c r="F727" s="2" t="inlineStr">
        <is>
          <t>Seafood</t>
        </is>
      </c>
      <c r="G727" s="13">
        <f>IFERROR(VLOOKUP(B727, 'Price Data'!A:D, 3, FALSE) * VLOOKUP(B727, 'Price Data'!A:D, 4, FALSE) * C727, "")</f>
        <v/>
      </c>
    </row>
    <row r="728">
      <c r="A728" s="1" t="n">
        <v>45763</v>
      </c>
      <c r="B728" t="inlineStr">
        <is>
          <t>ING-129</t>
        </is>
      </c>
      <c r="C728" t="n">
        <v>1.5</v>
      </c>
      <c r="D728" t="inlineStr">
        <is>
          <t>Hot Hold</t>
        </is>
      </c>
      <c r="E728" t="inlineStr">
        <is>
          <t>Maybe</t>
        </is>
      </c>
      <c r="F728" s="2" t="inlineStr">
        <is>
          <t>Temp. logs req.</t>
        </is>
      </c>
      <c r="G728" s="13">
        <f>IFERROR(VLOOKUP(B728, 'Price Data'!A:D, 3, FALSE) * VLOOKUP(B728, 'Price Data'!A:D, 4, FALSE) * C728, "")</f>
        <v/>
      </c>
    </row>
    <row r="729">
      <c r="A729" s="1" t="n">
        <v>45763</v>
      </c>
      <c r="B729" t="inlineStr">
        <is>
          <t>ING-159</t>
        </is>
      </c>
      <c r="C729" t="n">
        <v>1.5</v>
      </c>
      <c r="D729" t="inlineStr">
        <is>
          <t>Hot Hold</t>
        </is>
      </c>
      <c r="E729" t="inlineStr">
        <is>
          <t>Maybe</t>
        </is>
      </c>
      <c r="F729" t="inlineStr">
        <is>
          <t>Temp. logs req.</t>
        </is>
      </c>
      <c r="G729" s="13">
        <f>IFERROR(VLOOKUP(B729, 'Price Data'!A:D, 3, FALSE) * VLOOKUP(B729, 'Price Data'!A:D, 4, FALSE) * C729, "")</f>
        <v/>
      </c>
    </row>
    <row r="730">
      <c r="A730" s="1" t="n">
        <v>45763</v>
      </c>
      <c r="B730" t="inlineStr">
        <is>
          <t>ING-100</t>
        </is>
      </c>
      <c r="C730" t="n">
        <v>1.5</v>
      </c>
      <c r="D730" t="inlineStr">
        <is>
          <t>Hot Hold</t>
        </is>
      </c>
      <c r="E730" t="inlineStr">
        <is>
          <t>Weak Maybe</t>
        </is>
      </c>
      <c r="F730" t="inlineStr">
        <is>
          <t>Temp. logs req.</t>
        </is>
      </c>
      <c r="G730" s="13">
        <f>IFERROR(VLOOKUP(B730, 'Price Data'!A:D, 3, FALSE) * VLOOKUP(B730, 'Price Data'!A:D, 4, FALSE) * C730, "")</f>
        <v/>
      </c>
    </row>
    <row r="731">
      <c r="A731" s="1" t="n">
        <v>45763</v>
      </c>
      <c r="B731" t="inlineStr">
        <is>
          <t>ING-021</t>
        </is>
      </c>
      <c r="C731" t="n">
        <v>1.5</v>
      </c>
      <c r="D731" t="inlineStr">
        <is>
          <t>Hot Hold</t>
        </is>
      </c>
      <c r="E731" t="inlineStr">
        <is>
          <t>Maybe</t>
        </is>
      </c>
      <c r="F731" t="inlineStr">
        <is>
          <t>Temp. logs req.</t>
        </is>
      </c>
      <c r="G731" s="13">
        <f>IFERROR(VLOOKUP(B731, 'Price Data'!A:D, 3, FALSE) * VLOOKUP(B731, 'Price Data'!A:D, 4, FALSE) * C731, "")</f>
        <v/>
      </c>
    </row>
    <row r="732">
      <c r="A732" s="1" t="n">
        <v>45763</v>
      </c>
      <c r="B732" t="inlineStr">
        <is>
          <t>ING-033</t>
        </is>
      </c>
      <c r="C732" t="n">
        <v>1</v>
      </c>
      <c r="D732" t="inlineStr">
        <is>
          <t>Expiring</t>
        </is>
      </c>
      <c r="E732" t="inlineStr">
        <is>
          <t>No</t>
        </is>
      </c>
      <c r="F732" t="inlineStr">
        <is>
          <t>Cut produce | No tamper-proof seal</t>
        </is>
      </c>
      <c r="G732" s="13">
        <f>IFERROR(VLOOKUP(B732, 'Price Data'!A:D, 3, FALSE) * VLOOKUP(B732, 'Price Data'!A:D, 4, FALSE) * C732, "")</f>
        <v/>
      </c>
    </row>
    <row r="733">
      <c r="A733" s="1" t="n">
        <v>45763</v>
      </c>
      <c r="B733" t="inlineStr">
        <is>
          <t>ING-157</t>
        </is>
      </c>
      <c r="C733" t="n">
        <v>3</v>
      </c>
      <c r="D733" t="inlineStr">
        <is>
          <t>Hot Hold</t>
        </is>
      </c>
      <c r="E733" t="inlineStr">
        <is>
          <t>Weak Maybe</t>
        </is>
      </c>
      <c r="F733" t="inlineStr">
        <is>
          <t>Temp. logs req.</t>
        </is>
      </c>
      <c r="G733" s="13">
        <f>IFERROR(VLOOKUP(B733, 'Price Data'!A:D, 3, FALSE) * VLOOKUP(B733, 'Price Data'!A:D, 4, FALSE) * C733, "")</f>
        <v/>
      </c>
    </row>
    <row r="734">
      <c r="A734" s="1" t="n">
        <v>45763</v>
      </c>
      <c r="B734" t="inlineStr">
        <is>
          <t>ING-021</t>
        </is>
      </c>
      <c r="C734" t="n">
        <v>1</v>
      </c>
      <c r="D734" t="inlineStr">
        <is>
          <t>Hot Hold</t>
        </is>
      </c>
      <c r="E734" t="inlineStr">
        <is>
          <t>Maybe</t>
        </is>
      </c>
      <c r="F734" t="inlineStr">
        <is>
          <t>Temp. logs req.</t>
        </is>
      </c>
      <c r="G734" s="13">
        <f>IFERROR(VLOOKUP(B734, 'Price Data'!A:D, 3, FALSE) * VLOOKUP(B734, 'Price Data'!A:D, 4, FALSE) * C734, "")</f>
        <v/>
      </c>
    </row>
    <row r="735">
      <c r="A735" s="1" t="n">
        <v>45763</v>
      </c>
      <c r="B735" t="inlineStr">
        <is>
          <t>ING-028</t>
        </is>
      </c>
      <c r="C735" t="n">
        <v>3.5</v>
      </c>
      <c r="D735" t="inlineStr">
        <is>
          <t>Hot Hold</t>
        </is>
      </c>
      <c r="E735" t="inlineStr">
        <is>
          <t>No</t>
        </is>
      </c>
      <c r="F735" t="inlineStr">
        <is>
          <t>No Date | Temp. logs req.</t>
        </is>
      </c>
      <c r="G735" s="13">
        <f>IFERROR(VLOOKUP(B735, 'Price Data'!A:D, 3, FALSE) * VLOOKUP(B735, 'Price Data'!A:D, 4, FALSE) * C735, "")</f>
        <v/>
      </c>
    </row>
    <row r="736">
      <c r="A736" s="1" t="n">
        <v>45763</v>
      </c>
      <c r="B736" t="inlineStr">
        <is>
          <t>ING-036</t>
        </is>
      </c>
      <c r="C736" t="n">
        <v>2.5</v>
      </c>
      <c r="D736" t="inlineStr">
        <is>
          <t>Expiring</t>
        </is>
      </c>
      <c r="E736" t="inlineStr">
        <is>
          <t>Strong Maybe</t>
        </is>
      </c>
      <c r="F736" t="inlineStr">
        <is>
          <t>Freeze (req) | Seafood</t>
        </is>
      </c>
      <c r="G736" s="13">
        <f>IFERROR(VLOOKUP(B736, 'Price Data'!A:D, 3, FALSE) * VLOOKUP(B736, 'Price Data'!A:D, 4, FALSE) * C736, "")</f>
        <v/>
      </c>
    </row>
    <row r="737">
      <c r="A737" s="1" t="n">
        <v>45763</v>
      </c>
      <c r="B737" t="inlineStr">
        <is>
          <t>ING-156</t>
        </is>
      </c>
      <c r="C737" t="n">
        <v>2</v>
      </c>
      <c r="D737" t="inlineStr">
        <is>
          <t>Expiring</t>
        </is>
      </c>
      <c r="E737" t="inlineStr">
        <is>
          <t>Yes</t>
        </is>
      </c>
      <c r="F737" s="5" t="inlineStr">
        <is>
          <t>As is</t>
        </is>
      </c>
      <c r="G737" s="13">
        <f>IFERROR(VLOOKUP(B737, 'Price Data'!A:D, 3, FALSE) * VLOOKUP(B737, 'Price Data'!A:D, 4, FALSE) * C737, "")</f>
        <v/>
      </c>
    </row>
    <row r="738">
      <c r="A738" s="1" t="n">
        <v>45763</v>
      </c>
      <c r="B738" t="inlineStr">
        <is>
          <t>ING-136</t>
        </is>
      </c>
      <c r="C738" t="n">
        <v>2</v>
      </c>
      <c r="D738" t="inlineStr">
        <is>
          <t>Expiring</t>
        </is>
      </c>
      <c r="E738" t="inlineStr">
        <is>
          <t>Yes</t>
        </is>
      </c>
      <c r="F738" t="inlineStr">
        <is>
          <t>As is</t>
        </is>
      </c>
      <c r="G738" s="13">
        <f>IFERROR(VLOOKUP(B738, 'Price Data'!A:D, 3, FALSE) * VLOOKUP(B738, 'Price Data'!A:D, 4, FALSE) * C738, "")</f>
        <v/>
      </c>
    </row>
    <row r="739">
      <c r="A739" s="1" t="n">
        <v>45763</v>
      </c>
      <c r="B739" t="inlineStr">
        <is>
          <t>ING-127</t>
        </is>
      </c>
      <c r="C739" t="n">
        <v>1</v>
      </c>
      <c r="D739" t="inlineStr">
        <is>
          <t>Expiring</t>
        </is>
      </c>
      <c r="E739" t="inlineStr">
        <is>
          <t>Yes</t>
        </is>
      </c>
      <c r="F739" s="2" t="inlineStr">
        <is>
          <t>Freeze (req)</t>
        </is>
      </c>
      <c r="G739" s="13">
        <f>IFERROR(VLOOKUP(B739, 'Price Data'!A:D, 3, FALSE) * VLOOKUP(B739, 'Price Data'!A:D, 4, FALSE) * C739, "")</f>
        <v/>
      </c>
    </row>
    <row r="740">
      <c r="A740" s="1" t="n">
        <v>45763</v>
      </c>
      <c r="B740" t="inlineStr">
        <is>
          <t>ING-039</t>
        </is>
      </c>
      <c r="C740" t="n">
        <v>0.5</v>
      </c>
      <c r="D740" t="inlineStr">
        <is>
          <t>Expiring</t>
        </is>
      </c>
      <c r="E740" t="inlineStr">
        <is>
          <t>Yes</t>
        </is>
      </c>
      <c r="F740" t="inlineStr">
        <is>
          <t>Freeze (req)</t>
        </is>
      </c>
      <c r="G740" s="13">
        <f>IFERROR(VLOOKUP(B740, 'Price Data'!A:D, 3, FALSE) * VLOOKUP(B740, 'Price Data'!A:D, 4, FALSE) * C740, "")</f>
        <v/>
      </c>
    </row>
    <row r="741">
      <c r="A741" s="1" t="n">
        <v>45763</v>
      </c>
      <c r="B741" t="inlineStr">
        <is>
          <t>ING-056</t>
        </is>
      </c>
      <c r="C741" t="n">
        <v>1</v>
      </c>
      <c r="D741" t="inlineStr">
        <is>
          <t>Hot Hold</t>
        </is>
      </c>
      <c r="E741" t="inlineStr">
        <is>
          <t>No</t>
        </is>
      </c>
      <c r="F741" s="2" t="inlineStr">
        <is>
          <t>Temp. logs req. | Cooked produce | Minimal Utility</t>
        </is>
      </c>
      <c r="G741" s="13">
        <f>IFERROR(VLOOKUP(B741, 'Price Data'!A:D, 3, FALSE) * VLOOKUP(B741, 'Price Data'!A:D, 4, FALSE) * C741, "")</f>
        <v/>
      </c>
    </row>
    <row r="742">
      <c r="A742" s="1" t="n">
        <v>45763</v>
      </c>
      <c r="B742" t="inlineStr">
        <is>
          <t>ING-010</t>
        </is>
      </c>
      <c r="C742" t="n">
        <v>0.5</v>
      </c>
      <c r="D742" t="inlineStr">
        <is>
          <t>DISCARDED</t>
        </is>
      </c>
      <c r="E742" t="inlineStr">
        <is>
          <t>No</t>
        </is>
      </c>
      <c r="F742" t="inlineStr">
        <is>
          <t>DISCARDED</t>
        </is>
      </c>
      <c r="G742" s="13">
        <f>IFERROR(VLOOKUP(B742, 'Price Data'!A:D, 3, FALSE) * VLOOKUP(B742, 'Price Data'!A:D, 4, FALSE) * C742, "")</f>
        <v/>
      </c>
    </row>
    <row r="743">
      <c r="A743" s="1" t="n">
        <v>45763</v>
      </c>
      <c r="B743" t="inlineStr">
        <is>
          <t>ING-056</t>
        </is>
      </c>
      <c r="C743" t="n">
        <v>4</v>
      </c>
      <c r="D743" t="inlineStr">
        <is>
          <t>Hot Hold</t>
        </is>
      </c>
      <c r="E743" t="inlineStr">
        <is>
          <t>No</t>
        </is>
      </c>
      <c r="F743" s="2" t="inlineStr">
        <is>
          <t>Temp. logs req. | Cooked produce | Minimal Utility</t>
        </is>
      </c>
      <c r="G743" s="13">
        <f>IFERROR(VLOOKUP(B743, 'Price Data'!A:D, 3, FALSE) * VLOOKUP(B743, 'Price Data'!A:D, 4, FALSE) * C743, "")</f>
        <v/>
      </c>
    </row>
    <row r="744">
      <c r="A744" s="1" t="n">
        <v>45763</v>
      </c>
      <c r="B744" t="inlineStr">
        <is>
          <t>ING-056</t>
        </is>
      </c>
      <c r="C744" t="n">
        <v>2</v>
      </c>
      <c r="D744" t="inlineStr">
        <is>
          <t>Hot Hold</t>
        </is>
      </c>
      <c r="E744" t="inlineStr">
        <is>
          <t>No</t>
        </is>
      </c>
      <c r="F744" t="inlineStr">
        <is>
          <t>Temp. logs req. | Cooked produce | Minimal Utility</t>
        </is>
      </c>
      <c r="G744" s="13">
        <f>IFERROR(VLOOKUP(B744, 'Price Data'!A:D, 3, FALSE) * VLOOKUP(B744, 'Price Data'!A:D, 4, FALSE) * C744, "")</f>
        <v/>
      </c>
    </row>
    <row r="745">
      <c r="A745" s="1" t="n">
        <v>45763</v>
      </c>
      <c r="B745" t="inlineStr">
        <is>
          <t>ING-067</t>
        </is>
      </c>
      <c r="C745" t="n">
        <v>1.5</v>
      </c>
      <c r="D745" t="inlineStr">
        <is>
          <t>Hot Hold</t>
        </is>
      </c>
      <c r="E745" t="inlineStr">
        <is>
          <t>Weak Maybe</t>
        </is>
      </c>
      <c r="F745" t="inlineStr">
        <is>
          <t>Temp. logs req.</t>
        </is>
      </c>
      <c r="G745" s="13">
        <f>IFERROR(VLOOKUP(B745, 'Price Data'!A:D, 3, FALSE) * VLOOKUP(B745, 'Price Data'!A:D, 4, FALSE) * C745, "")</f>
        <v/>
      </c>
    </row>
    <row r="746">
      <c r="A746" s="1" t="n">
        <v>45763</v>
      </c>
      <c r="B746" t="inlineStr">
        <is>
          <t>ING-149</t>
        </is>
      </c>
      <c r="C746" t="n">
        <v>1</v>
      </c>
      <c r="D746" t="inlineStr">
        <is>
          <t>Expiring</t>
        </is>
      </c>
      <c r="E746" t="inlineStr">
        <is>
          <t>Strong Maybe</t>
        </is>
      </c>
      <c r="F746" t="inlineStr">
        <is>
          <t>Freeze (rec)</t>
        </is>
      </c>
      <c r="G746" s="13">
        <f>IFERROR(VLOOKUP(B746, 'Price Data'!A:D, 3, FALSE) * VLOOKUP(B746, 'Price Data'!A:D, 4, FALSE) * C746, "")</f>
        <v/>
      </c>
    </row>
    <row r="747">
      <c r="A747" s="1" t="n">
        <v>45763</v>
      </c>
      <c r="B747" t="inlineStr">
        <is>
          <t>ING-150</t>
        </is>
      </c>
      <c r="C747" t="n">
        <v>1.5</v>
      </c>
      <c r="D747" t="inlineStr">
        <is>
          <t>DISCARDED</t>
        </is>
      </c>
      <c r="E747" t="inlineStr">
        <is>
          <t>Maybe</t>
        </is>
      </c>
      <c r="F747" s="2" t="inlineStr">
        <is>
          <t>Temp. logs req.</t>
        </is>
      </c>
      <c r="G747" s="13">
        <f>IFERROR(VLOOKUP(B747, 'Price Data'!A:D, 3, FALSE) * VLOOKUP(B747, 'Price Data'!A:D, 4, FALSE) * C747, "")</f>
        <v/>
      </c>
    </row>
    <row r="748">
      <c r="A748" s="1" t="n">
        <v>45763</v>
      </c>
      <c r="B748" t="inlineStr">
        <is>
          <t>ING-139</t>
        </is>
      </c>
      <c r="C748" t="n">
        <v>0.5</v>
      </c>
      <c r="D748" t="inlineStr">
        <is>
          <t>Hot Hold</t>
        </is>
      </c>
      <c r="E748" t="inlineStr">
        <is>
          <t>Weak Maybe</t>
        </is>
      </c>
      <c r="F748" s="2" t="inlineStr">
        <is>
          <t>Temp. logs req. | Minimal Utility</t>
        </is>
      </c>
      <c r="G748" s="13">
        <f>IFERROR(VLOOKUP(B748, 'Price Data'!A:D, 3, FALSE) * VLOOKUP(B748, 'Price Data'!A:D, 4, FALSE) * C748, "")</f>
        <v/>
      </c>
    </row>
    <row r="749">
      <c r="A749" s="1" t="n">
        <v>45763</v>
      </c>
      <c r="B749" t="inlineStr">
        <is>
          <t>ING-068</t>
        </is>
      </c>
      <c r="C749" t="n">
        <v>2.5</v>
      </c>
      <c r="D749" t="inlineStr">
        <is>
          <t>Hot Hold</t>
        </is>
      </c>
      <c r="E749" t="inlineStr">
        <is>
          <t>Maybe</t>
        </is>
      </c>
      <c r="F749" t="inlineStr">
        <is>
          <t>Temp. logs req.</t>
        </is>
      </c>
      <c r="G749" s="13">
        <f>IFERROR(VLOOKUP(B749, 'Price Data'!A:D, 3, FALSE) * VLOOKUP(B749, 'Price Data'!A:D, 4, FALSE) * C749, "")</f>
        <v/>
      </c>
    </row>
    <row r="750">
      <c r="A750" s="1" t="n">
        <v>45764</v>
      </c>
      <c r="B750" t="inlineStr">
        <is>
          <t>ING-157</t>
        </is>
      </c>
      <c r="C750" t="n">
        <v>1</v>
      </c>
      <c r="D750" t="inlineStr">
        <is>
          <t>Hot Hold</t>
        </is>
      </c>
      <c r="E750" t="inlineStr">
        <is>
          <t>Maybe</t>
        </is>
      </c>
      <c r="F750" t="inlineStr">
        <is>
          <t>Temp. logs req.</t>
        </is>
      </c>
      <c r="G750" s="13">
        <f>IFERROR(VLOOKUP(B750, 'Price Data'!A:D, 3, FALSE) * VLOOKUP(B750, 'Price Data'!A:D, 4, FALSE) * C750, "")</f>
        <v/>
      </c>
    </row>
    <row r="751">
      <c r="A751" s="1" t="n">
        <v>45764</v>
      </c>
      <c r="B751" t="inlineStr">
        <is>
          <t>ING-125</t>
        </is>
      </c>
      <c r="C751" t="n">
        <v>4</v>
      </c>
      <c r="D751" t="inlineStr">
        <is>
          <t>Expiring</t>
        </is>
      </c>
      <c r="E751" t="inlineStr">
        <is>
          <t>Yes</t>
        </is>
      </c>
      <c r="F751" t="inlineStr">
        <is>
          <t>Freeze (rec)</t>
        </is>
      </c>
      <c r="G751" s="13">
        <f>IFERROR(VLOOKUP(B751, 'Price Data'!A:D, 3, FALSE) * VLOOKUP(B751, 'Price Data'!A:D, 4, FALSE) * C751, "")</f>
        <v/>
      </c>
    </row>
    <row r="752">
      <c r="A752" s="1" t="n">
        <v>45764</v>
      </c>
      <c r="B752" t="inlineStr">
        <is>
          <t>ING-031</t>
        </is>
      </c>
      <c r="C752" t="n">
        <v>0.5</v>
      </c>
      <c r="D752" t="inlineStr">
        <is>
          <t>Expiring</t>
        </is>
      </c>
      <c r="E752" t="inlineStr">
        <is>
          <t>Weak Maybe</t>
        </is>
      </c>
      <c r="F752" s="2" t="inlineStr">
        <is>
          <t>No tamper-proof seal</t>
        </is>
      </c>
      <c r="G752" s="13">
        <f>IFERROR(VLOOKUP(B752, 'Price Data'!A:D, 3, FALSE) * VLOOKUP(B752, 'Price Data'!A:D, 4, FALSE) * C752, "")</f>
        <v/>
      </c>
    </row>
    <row r="753">
      <c r="A753" s="1" t="n">
        <v>45764</v>
      </c>
      <c r="B753" t="inlineStr">
        <is>
          <t>ING-105</t>
        </is>
      </c>
      <c r="C753" t="n">
        <v>1</v>
      </c>
      <c r="D753" t="inlineStr">
        <is>
          <t>Hot Hold</t>
        </is>
      </c>
      <c r="E753" t="inlineStr">
        <is>
          <t>Weak Maybe</t>
        </is>
      </c>
      <c r="F753" t="inlineStr">
        <is>
          <t>Temp. logs req. | Minimal Utility</t>
        </is>
      </c>
      <c r="G753" s="13">
        <f>IFERROR(VLOOKUP(B753, 'Price Data'!A:D, 3, FALSE) * VLOOKUP(B753, 'Price Data'!A:D, 4, FALSE) * C753, "")</f>
        <v/>
      </c>
    </row>
    <row r="754">
      <c r="A754" s="1" t="n">
        <v>45764</v>
      </c>
      <c r="B754" t="inlineStr">
        <is>
          <t>ING-129</t>
        </is>
      </c>
      <c r="C754" t="n">
        <v>1.5</v>
      </c>
      <c r="D754" t="inlineStr">
        <is>
          <t>Hot Hold</t>
        </is>
      </c>
      <c r="E754" t="inlineStr">
        <is>
          <t>Maybe</t>
        </is>
      </c>
      <c r="F754" t="inlineStr">
        <is>
          <t>Temp. logs req.</t>
        </is>
      </c>
      <c r="G754" s="13">
        <f>IFERROR(VLOOKUP(B754, 'Price Data'!A:D, 3, FALSE) * VLOOKUP(B754, 'Price Data'!A:D, 4, FALSE) * C754, "")</f>
        <v/>
      </c>
    </row>
    <row r="755">
      <c r="A755" s="1" t="n">
        <v>45764</v>
      </c>
      <c r="B755" t="inlineStr">
        <is>
          <t>ING-137</t>
        </is>
      </c>
      <c r="C755" t="n">
        <v>1</v>
      </c>
      <c r="D755" t="inlineStr">
        <is>
          <t>Expiring</t>
        </is>
      </c>
      <c r="E755" t="inlineStr">
        <is>
          <t>Yes</t>
        </is>
      </c>
      <c r="F755" t="inlineStr">
        <is>
          <t>Freeze (req)</t>
        </is>
      </c>
      <c r="G755" s="13">
        <f>IFERROR(VLOOKUP(B755, 'Price Data'!A:D, 3, FALSE) * VLOOKUP(B755, 'Price Data'!A:D, 4, FALSE) * C755, "")</f>
        <v/>
      </c>
    </row>
    <row r="756">
      <c r="A756" s="1" t="n">
        <v>45764</v>
      </c>
      <c r="B756" t="inlineStr">
        <is>
          <t>ING-169</t>
        </is>
      </c>
      <c r="C756" t="n">
        <v>1</v>
      </c>
      <c r="D756" t="inlineStr">
        <is>
          <t>Expiring</t>
        </is>
      </c>
      <c r="E756" t="inlineStr">
        <is>
          <t>Maybe</t>
        </is>
      </c>
      <c r="F756" t="inlineStr">
        <is>
          <t>As is | Minimal Utility</t>
        </is>
      </c>
      <c r="G756" s="13">
        <f>IFERROR(VLOOKUP(B756, 'Price Data'!A:D, 3, FALSE) * VLOOKUP(B756, 'Price Data'!A:D, 4, FALSE) * C756, "")</f>
        <v/>
      </c>
    </row>
    <row r="757">
      <c r="A757" s="1" t="n">
        <v>45764</v>
      </c>
      <c r="B757" t="inlineStr">
        <is>
          <t>ING-033</t>
        </is>
      </c>
      <c r="C757" t="n">
        <v>2.5</v>
      </c>
      <c r="D757" t="inlineStr">
        <is>
          <t>Expiring</t>
        </is>
      </c>
      <c r="E757" t="inlineStr">
        <is>
          <t>No</t>
        </is>
      </c>
      <c r="F757" t="inlineStr">
        <is>
          <t>Cut produce | No tamper-proof seal</t>
        </is>
      </c>
      <c r="G757" s="13">
        <f>IFERROR(VLOOKUP(B757, 'Price Data'!A:D, 3, FALSE) * VLOOKUP(B757, 'Price Data'!A:D, 4, FALSE) * C757, "")</f>
        <v/>
      </c>
    </row>
    <row r="758">
      <c r="A758" s="1" t="n">
        <v>45764</v>
      </c>
      <c r="B758" t="inlineStr">
        <is>
          <t>ING-091</t>
        </is>
      </c>
      <c r="C758" t="n">
        <v>2.5</v>
      </c>
      <c r="D758" t="inlineStr">
        <is>
          <t>Expiring</t>
        </is>
      </c>
      <c r="E758" t="inlineStr">
        <is>
          <t>Yes</t>
        </is>
      </c>
      <c r="F758" t="inlineStr">
        <is>
          <t>Freeze (req)</t>
        </is>
      </c>
      <c r="G758" s="13">
        <f>IFERROR(VLOOKUP(B758, 'Price Data'!A:D, 3, FALSE) * VLOOKUP(B758, 'Price Data'!A:D, 4, FALSE) * C758, "")</f>
        <v/>
      </c>
    </row>
    <row r="759">
      <c r="A759" s="1" t="n">
        <v>45764</v>
      </c>
      <c r="B759" t="inlineStr">
        <is>
          <t>ING-128</t>
        </is>
      </c>
      <c r="C759" t="n">
        <v>1</v>
      </c>
      <c r="D759" t="inlineStr">
        <is>
          <t>Hot Hold</t>
        </is>
      </c>
      <c r="E759" t="inlineStr">
        <is>
          <t>No</t>
        </is>
      </c>
      <c r="F759" t="inlineStr">
        <is>
          <t>Cut produce | Temp. logs req.</t>
        </is>
      </c>
      <c r="G759" s="13">
        <f>IFERROR(VLOOKUP(B759, 'Price Data'!A:D, 3, FALSE) * VLOOKUP(B759, 'Price Data'!A:D, 4, FALSE) * C759, "")</f>
        <v/>
      </c>
    </row>
    <row r="760">
      <c r="A760" s="1" t="n">
        <v>45764</v>
      </c>
      <c r="B760" t="inlineStr">
        <is>
          <t>ING-016</t>
        </is>
      </c>
      <c r="C760" t="n">
        <v>3</v>
      </c>
      <c r="D760" t="inlineStr">
        <is>
          <t>Expiring</t>
        </is>
      </c>
      <c r="E760" t="inlineStr">
        <is>
          <t>Strong Maybe</t>
        </is>
      </c>
      <c r="F760" s="2" t="inlineStr">
        <is>
          <t>Freeze (req) | Seafood</t>
        </is>
      </c>
      <c r="G760" s="13">
        <f>IFERROR(VLOOKUP(B760, 'Price Data'!A:D, 3, FALSE) * VLOOKUP(B760, 'Price Data'!A:D, 4, FALSE) * C760, "")</f>
        <v/>
      </c>
    </row>
    <row r="761">
      <c r="A761" s="1" t="n">
        <v>45764</v>
      </c>
      <c r="B761" t="inlineStr">
        <is>
          <t>ING-136</t>
        </is>
      </c>
      <c r="C761" t="n">
        <v>1.5</v>
      </c>
      <c r="D761" t="inlineStr">
        <is>
          <t>Expiring</t>
        </is>
      </c>
      <c r="E761" t="inlineStr">
        <is>
          <t>Yes</t>
        </is>
      </c>
      <c r="F761" t="inlineStr">
        <is>
          <t>As is</t>
        </is>
      </c>
      <c r="G761" s="13">
        <f>IFERROR(VLOOKUP(B761, 'Price Data'!A:D, 3, FALSE) * VLOOKUP(B761, 'Price Data'!A:D, 4, FALSE) * C761, "")</f>
        <v/>
      </c>
    </row>
    <row r="762">
      <c r="A762" s="1" t="n">
        <v>45764</v>
      </c>
      <c r="B762" t="inlineStr">
        <is>
          <t>ING-028</t>
        </is>
      </c>
      <c r="C762" t="n">
        <v>1</v>
      </c>
      <c r="D762" t="inlineStr">
        <is>
          <t>Hot Hold</t>
        </is>
      </c>
      <c r="E762" t="inlineStr">
        <is>
          <t>No</t>
        </is>
      </c>
      <c r="F762" t="inlineStr">
        <is>
          <t>No Date</t>
        </is>
      </c>
      <c r="G762" s="13">
        <f>IFERROR(VLOOKUP(B762, 'Price Data'!A:D, 3, FALSE) * VLOOKUP(B762, 'Price Data'!A:D, 4, FALSE) * C762, "")</f>
        <v/>
      </c>
    </row>
    <row r="763">
      <c r="A763" s="1" t="n">
        <v>45764</v>
      </c>
      <c r="B763" t="inlineStr">
        <is>
          <t>ING-168</t>
        </is>
      </c>
      <c r="C763" t="n">
        <v>2.5</v>
      </c>
      <c r="D763" t="inlineStr">
        <is>
          <t>Expiring</t>
        </is>
      </c>
      <c r="E763" t="inlineStr">
        <is>
          <t>Maybe</t>
        </is>
      </c>
      <c r="F763" s="2" t="inlineStr">
        <is>
          <t>As is | Minimal Utility</t>
        </is>
      </c>
      <c r="G763" s="13">
        <f>IFERROR(VLOOKUP(B763, 'Price Data'!A:D, 3, FALSE) * VLOOKUP(B763, 'Price Data'!A:D, 4, FALSE) * C763, "")</f>
        <v/>
      </c>
    </row>
    <row r="764">
      <c r="A764" s="1" t="n">
        <v>45764</v>
      </c>
      <c r="B764" t="inlineStr">
        <is>
          <t>ING-109</t>
        </is>
      </c>
      <c r="C764" t="n">
        <v>1</v>
      </c>
      <c r="D764" t="inlineStr">
        <is>
          <t>Expiring</t>
        </is>
      </c>
      <c r="E764" t="inlineStr">
        <is>
          <t>No</t>
        </is>
      </c>
      <c r="F764" s="5" t="inlineStr">
        <is>
          <t>Freeze (req)</t>
        </is>
      </c>
      <c r="G764" s="13">
        <f>IFERROR(VLOOKUP(B764, 'Price Data'!A:D, 3, FALSE) * VLOOKUP(B764, 'Price Data'!A:D, 4, FALSE) * C764, "")</f>
        <v/>
      </c>
    </row>
    <row r="765">
      <c r="A765" s="1" t="n">
        <v>45764</v>
      </c>
      <c r="B765" t="inlineStr">
        <is>
          <t>ING-137</t>
        </is>
      </c>
      <c r="C765" t="n">
        <v>1.5</v>
      </c>
      <c r="D765" t="inlineStr">
        <is>
          <t>Expiring</t>
        </is>
      </c>
      <c r="E765" t="inlineStr">
        <is>
          <t>Yes</t>
        </is>
      </c>
      <c r="F765" t="inlineStr">
        <is>
          <t>Freeze (req)</t>
        </is>
      </c>
      <c r="G765" s="13">
        <f>IFERROR(VLOOKUP(B765, 'Price Data'!A:D, 3, FALSE) * VLOOKUP(B765, 'Price Data'!A:D, 4, FALSE) * C765, "")</f>
        <v/>
      </c>
    </row>
    <row r="766">
      <c r="A766" s="1" t="n">
        <v>45764</v>
      </c>
      <c r="B766" t="inlineStr">
        <is>
          <t>ING-092</t>
        </is>
      </c>
      <c r="C766" t="n">
        <v>0.5</v>
      </c>
      <c r="D766" t="inlineStr">
        <is>
          <t>Expiring</t>
        </is>
      </c>
      <c r="E766" t="inlineStr">
        <is>
          <t>No</t>
        </is>
      </c>
      <c r="F766" t="inlineStr">
        <is>
          <t>No tamper-proof seal</t>
        </is>
      </c>
      <c r="G766" s="13">
        <f>IFERROR(VLOOKUP(B766, 'Price Data'!A:D, 3, FALSE) * VLOOKUP(B766, 'Price Data'!A:D, 4, FALSE) * C766, "")</f>
        <v/>
      </c>
    </row>
    <row r="767">
      <c r="A767" s="1" t="n">
        <v>45764</v>
      </c>
      <c r="B767" t="inlineStr">
        <is>
          <t>ING-004</t>
        </is>
      </c>
      <c r="C767" t="n">
        <v>0.5</v>
      </c>
      <c r="D767" t="inlineStr">
        <is>
          <t>Hot Hold</t>
        </is>
      </c>
      <c r="E767" t="inlineStr">
        <is>
          <t>No</t>
        </is>
      </c>
      <c r="F767" s="2" t="inlineStr">
        <is>
          <t>Minimal Utility</t>
        </is>
      </c>
      <c r="G767" s="13">
        <f>IFERROR(VLOOKUP(B767, 'Price Data'!A:D, 3, FALSE) * VLOOKUP(B767, 'Price Data'!A:D, 4, FALSE) * C767, "")</f>
        <v/>
      </c>
    </row>
    <row r="768">
      <c r="A768" s="1" t="n">
        <v>45764</v>
      </c>
      <c r="B768" t="inlineStr">
        <is>
          <t>ING-006</t>
        </is>
      </c>
      <c r="C768" t="n">
        <v>2</v>
      </c>
      <c r="D768" t="inlineStr">
        <is>
          <t>Expiring</t>
        </is>
      </c>
      <c r="E768" t="inlineStr">
        <is>
          <t>Strong Maybe</t>
        </is>
      </c>
      <c r="F768" t="inlineStr">
        <is>
          <t>Freeze (req) | Seafood</t>
        </is>
      </c>
      <c r="G768" s="13">
        <f>IFERROR(VLOOKUP(B768, 'Price Data'!A:D, 3, FALSE) * VLOOKUP(B768, 'Price Data'!A:D, 4, FALSE) * C768, "")</f>
        <v/>
      </c>
    </row>
    <row r="769">
      <c r="A769" s="1" t="n">
        <v>45764</v>
      </c>
      <c r="B769" t="inlineStr">
        <is>
          <t>ING-006</t>
        </is>
      </c>
      <c r="C769" t="n">
        <v>3</v>
      </c>
      <c r="D769" t="inlineStr">
        <is>
          <t>Expiring</t>
        </is>
      </c>
      <c r="E769" t="inlineStr">
        <is>
          <t>Strong Maybe</t>
        </is>
      </c>
      <c r="F769" s="2" t="inlineStr">
        <is>
          <t>Freeze (req) | Seafood</t>
        </is>
      </c>
      <c r="G769" s="13">
        <f>IFERROR(VLOOKUP(B769, 'Price Data'!A:D, 3, FALSE) * VLOOKUP(B769, 'Price Data'!A:D, 4, FALSE) * C769, "")</f>
        <v/>
      </c>
    </row>
    <row r="770">
      <c r="A770" s="1" t="n">
        <v>45764</v>
      </c>
      <c r="B770" t="inlineStr">
        <is>
          <t>ING-120</t>
        </is>
      </c>
      <c r="C770" t="n">
        <v>0.5</v>
      </c>
      <c r="D770" t="inlineStr">
        <is>
          <t>Expiring</t>
        </is>
      </c>
      <c r="E770" t="inlineStr">
        <is>
          <t>Yes</t>
        </is>
      </c>
      <c r="F770" t="inlineStr">
        <is>
          <t>Freeze (req)</t>
        </is>
      </c>
      <c r="G770" s="13">
        <f>IFERROR(VLOOKUP(B770, 'Price Data'!A:D, 3, FALSE) * VLOOKUP(B770, 'Price Data'!A:D, 4, FALSE) * C770, "")</f>
        <v/>
      </c>
    </row>
    <row r="771">
      <c r="A771" s="1" t="n">
        <v>45764</v>
      </c>
      <c r="B771" t="inlineStr">
        <is>
          <t>ING-125</t>
        </is>
      </c>
      <c r="C771" t="n">
        <v>1</v>
      </c>
      <c r="D771" t="inlineStr">
        <is>
          <t>Expiring</t>
        </is>
      </c>
      <c r="E771" t="inlineStr">
        <is>
          <t>Yes</t>
        </is>
      </c>
      <c r="F771" s="2" t="inlineStr">
        <is>
          <t>As is</t>
        </is>
      </c>
      <c r="G771" s="13">
        <f>IFERROR(VLOOKUP(B771, 'Price Data'!A:D, 3, FALSE) * VLOOKUP(B771, 'Price Data'!A:D, 4, FALSE) * C771, "")</f>
        <v/>
      </c>
    </row>
    <row r="772">
      <c r="A772" s="1" t="n">
        <v>45764</v>
      </c>
      <c r="B772" t="inlineStr">
        <is>
          <t>ING-140</t>
        </is>
      </c>
      <c r="C772" t="n">
        <v>0.5</v>
      </c>
      <c r="D772" t="inlineStr">
        <is>
          <t>Expiring</t>
        </is>
      </c>
      <c r="E772" t="inlineStr">
        <is>
          <t>No</t>
        </is>
      </c>
      <c r="F772" t="inlineStr">
        <is>
          <t>Minimal Utility</t>
        </is>
      </c>
      <c r="G772" s="13">
        <f>IFERROR(VLOOKUP(B772, 'Price Data'!A:D, 3, FALSE) * VLOOKUP(B772, 'Price Data'!A:D, 4, FALSE) * C772, "")</f>
        <v/>
      </c>
    </row>
    <row r="773">
      <c r="A773" s="1" t="n">
        <v>45764</v>
      </c>
      <c r="B773" t="inlineStr">
        <is>
          <t>ING-109</t>
        </is>
      </c>
      <c r="C773" t="n">
        <v>0.5</v>
      </c>
      <c r="D773" t="inlineStr">
        <is>
          <t>Expiring</t>
        </is>
      </c>
      <c r="E773" t="inlineStr">
        <is>
          <t>Strong Maybe</t>
        </is>
      </c>
      <c r="F773" s="2" t="inlineStr">
        <is>
          <t>Freeze (req)</t>
        </is>
      </c>
      <c r="G773" s="13">
        <f>IFERROR(VLOOKUP(B773, 'Price Data'!A:D, 3, FALSE) * VLOOKUP(B773, 'Price Data'!A:D, 4, FALSE) * C773, "")</f>
        <v/>
      </c>
    </row>
    <row r="774">
      <c r="A774" s="1" t="n">
        <v>45764</v>
      </c>
      <c r="B774" t="inlineStr">
        <is>
          <t>ING-136</t>
        </is>
      </c>
      <c r="C774" t="n">
        <v>2.5</v>
      </c>
      <c r="D774" t="inlineStr">
        <is>
          <t>Expiring</t>
        </is>
      </c>
      <c r="E774" t="inlineStr">
        <is>
          <t>Yes</t>
        </is>
      </c>
      <c r="F774" s="2" t="inlineStr">
        <is>
          <t>As is</t>
        </is>
      </c>
      <c r="G774" s="13">
        <f>IFERROR(VLOOKUP(B774, 'Price Data'!A:D, 3, FALSE) * VLOOKUP(B774, 'Price Data'!A:D, 4, FALSE) * C774, "")</f>
        <v/>
      </c>
    </row>
    <row r="775">
      <c r="A775" s="1" t="n">
        <v>45764</v>
      </c>
      <c r="B775" t="inlineStr">
        <is>
          <t>ING-163</t>
        </is>
      </c>
      <c r="C775" t="n">
        <v>2</v>
      </c>
      <c r="D775" t="inlineStr">
        <is>
          <t>Hot Hold</t>
        </is>
      </c>
      <c r="E775" t="inlineStr">
        <is>
          <t>Weak Maybe</t>
        </is>
      </c>
      <c r="F775" t="inlineStr">
        <is>
          <t>Temp. logs req.</t>
        </is>
      </c>
      <c r="G775" s="13">
        <f>IFERROR(VLOOKUP(B775, 'Price Data'!A:D, 3, FALSE) * VLOOKUP(B775, 'Price Data'!A:D, 4, FALSE) * C775, "")</f>
        <v/>
      </c>
    </row>
    <row r="776">
      <c r="A776" s="1" t="n">
        <v>45764</v>
      </c>
      <c r="B776" t="inlineStr">
        <is>
          <t>ING-071</t>
        </is>
      </c>
      <c r="C776" t="n">
        <v>0.5</v>
      </c>
      <c r="D776" t="inlineStr">
        <is>
          <t>Expiring</t>
        </is>
      </c>
      <c r="E776" t="inlineStr">
        <is>
          <t>No</t>
        </is>
      </c>
      <c r="F776" t="inlineStr">
        <is>
          <t>No tamper-proof seal, Freeze (req)</t>
        </is>
      </c>
      <c r="G776" s="13">
        <f>IFERROR(VLOOKUP(B776, 'Price Data'!A:D, 3, FALSE) * VLOOKUP(B776, 'Price Data'!A:D, 4, FALSE) * C776, "")</f>
        <v/>
      </c>
    </row>
    <row r="777">
      <c r="A777" s="1" t="n">
        <v>45764</v>
      </c>
      <c r="B777" t="inlineStr">
        <is>
          <t>ING-016</t>
        </is>
      </c>
      <c r="C777" t="n">
        <v>2</v>
      </c>
      <c r="D777" t="inlineStr">
        <is>
          <t>Expiring</t>
        </is>
      </c>
      <c r="E777" t="inlineStr">
        <is>
          <t>Strong Maybe</t>
        </is>
      </c>
      <c r="F777" s="2" t="inlineStr">
        <is>
          <t>Freeze (req) | Seafood</t>
        </is>
      </c>
      <c r="G777" s="13">
        <f>IFERROR(VLOOKUP(B777, 'Price Data'!A:D, 3, FALSE) * VLOOKUP(B777, 'Price Data'!A:D, 4, FALSE) * C777, "")</f>
        <v/>
      </c>
    </row>
    <row r="778">
      <c r="A778" s="1" t="n">
        <v>45764</v>
      </c>
      <c r="B778" t="inlineStr">
        <is>
          <t>ING-163</t>
        </is>
      </c>
      <c r="C778" t="n">
        <v>2.5</v>
      </c>
      <c r="D778" t="inlineStr">
        <is>
          <t>Hot Hold</t>
        </is>
      </c>
      <c r="E778" t="inlineStr">
        <is>
          <t>Weak Maybe</t>
        </is>
      </c>
      <c r="F778" t="inlineStr">
        <is>
          <t>Temp. logs req.</t>
        </is>
      </c>
      <c r="G778" s="13">
        <f>IFERROR(VLOOKUP(B778, 'Price Data'!A:D, 3, FALSE) * VLOOKUP(B778, 'Price Data'!A:D, 4, FALSE) * C778, "")</f>
        <v/>
      </c>
    </row>
    <row r="779">
      <c r="A779" s="1" t="n">
        <v>45766</v>
      </c>
      <c r="B779" t="inlineStr">
        <is>
          <t>ING-160</t>
        </is>
      </c>
      <c r="C779" t="n">
        <v>1</v>
      </c>
      <c r="D779" t="inlineStr">
        <is>
          <t>Expiring</t>
        </is>
      </c>
      <c r="E779" t="inlineStr">
        <is>
          <t>No</t>
        </is>
      </c>
      <c r="F779" t="inlineStr">
        <is>
          <t>No tamper-proof seal</t>
        </is>
      </c>
      <c r="G779" s="13">
        <f>IFERROR(VLOOKUP(B779, 'Price Data'!A:D, 3, FALSE) * VLOOKUP(B779, 'Price Data'!A:D, 4, FALSE) * C779, "")</f>
        <v/>
      </c>
    </row>
    <row r="780">
      <c r="A780" s="1" t="n">
        <v>45766</v>
      </c>
      <c r="B780" t="inlineStr">
        <is>
          <t>ING-067</t>
        </is>
      </c>
      <c r="C780" t="n">
        <v>1</v>
      </c>
      <c r="D780" t="inlineStr">
        <is>
          <t>Hot Hold</t>
        </is>
      </c>
      <c r="E780" t="inlineStr">
        <is>
          <t>Weak Maybe</t>
        </is>
      </c>
      <c r="F780" t="inlineStr">
        <is>
          <t>Temp. logs req.</t>
        </is>
      </c>
      <c r="G780" s="13">
        <f>IFERROR(VLOOKUP(B780, 'Price Data'!A:D, 3, FALSE) * VLOOKUP(B780, 'Price Data'!A:D, 4, FALSE) * C780, "")</f>
        <v/>
      </c>
    </row>
    <row r="781">
      <c r="A781" s="1" t="n">
        <v>45766</v>
      </c>
      <c r="B781" t="inlineStr">
        <is>
          <t>ING-106</t>
        </is>
      </c>
      <c r="C781" t="n">
        <v>1</v>
      </c>
      <c r="D781" t="inlineStr">
        <is>
          <t>Expiring</t>
        </is>
      </c>
      <c r="E781" t="inlineStr">
        <is>
          <t>Maybe</t>
        </is>
      </c>
      <c r="F781" t="inlineStr">
        <is>
          <t>Temp. logs req.</t>
        </is>
      </c>
      <c r="G781" s="13">
        <f>IFERROR(VLOOKUP(B781, 'Price Data'!A:D, 3, FALSE) * VLOOKUP(B781, 'Price Data'!A:D, 4, FALSE) * C781, "")</f>
        <v/>
      </c>
    </row>
    <row r="782">
      <c r="A782" s="1" t="n">
        <v>45766</v>
      </c>
      <c r="B782" t="inlineStr">
        <is>
          <t>ING-032</t>
        </is>
      </c>
      <c r="C782" t="n">
        <v>1</v>
      </c>
      <c r="D782" t="inlineStr">
        <is>
          <t>Expiring</t>
        </is>
      </c>
      <c r="E782" t="inlineStr">
        <is>
          <t>No</t>
        </is>
      </c>
      <c r="F782" t="inlineStr">
        <is>
          <t>No tamper-proof seal</t>
        </is>
      </c>
      <c r="G782" s="13">
        <f>IFERROR(VLOOKUP(B782, 'Price Data'!A:D, 3, FALSE) * VLOOKUP(B782, 'Price Data'!A:D, 4, FALSE) * C782, "")</f>
        <v/>
      </c>
    </row>
    <row r="783">
      <c r="A783" s="1" t="n">
        <v>45766</v>
      </c>
      <c r="B783" t="inlineStr">
        <is>
          <t>ING-139</t>
        </is>
      </c>
      <c r="C783" t="n">
        <v>2</v>
      </c>
      <c r="D783" t="inlineStr">
        <is>
          <t>Expiring</t>
        </is>
      </c>
      <c r="E783" t="inlineStr">
        <is>
          <t>Weak Maybe</t>
        </is>
      </c>
      <c r="F783" t="inlineStr">
        <is>
          <t>As is | Minimal Utility</t>
        </is>
      </c>
      <c r="G783" s="13">
        <f>IFERROR(VLOOKUP(B783, 'Price Data'!A:D, 3, FALSE) * VLOOKUP(B783, 'Price Data'!A:D, 4, FALSE) * C783, "")</f>
        <v/>
      </c>
    </row>
    <row r="784">
      <c r="A784" s="1" t="n">
        <v>45766</v>
      </c>
      <c r="B784" t="inlineStr">
        <is>
          <t>ING-110</t>
        </is>
      </c>
      <c r="C784" t="n">
        <v>2.5</v>
      </c>
      <c r="D784" t="inlineStr">
        <is>
          <t>Expiring</t>
        </is>
      </c>
      <c r="E784" t="inlineStr">
        <is>
          <t>Yes</t>
        </is>
      </c>
      <c r="F784" t="inlineStr">
        <is>
          <t>Freeze (req)</t>
        </is>
      </c>
      <c r="G784" s="13">
        <f>IFERROR(VLOOKUP(B784, 'Price Data'!A:D, 3, FALSE) * VLOOKUP(B784, 'Price Data'!A:D, 4, FALSE) * C784, "")</f>
        <v/>
      </c>
    </row>
    <row r="785">
      <c r="A785" s="1" t="n">
        <v>45766</v>
      </c>
      <c r="B785" t="inlineStr">
        <is>
          <t>ING-110</t>
        </is>
      </c>
      <c r="C785" t="n">
        <v>3</v>
      </c>
      <c r="D785" t="inlineStr">
        <is>
          <t>Expiring</t>
        </is>
      </c>
      <c r="E785" t="inlineStr">
        <is>
          <t>Yes</t>
        </is>
      </c>
      <c r="F785" s="5" t="inlineStr">
        <is>
          <t>Freeze (req)</t>
        </is>
      </c>
      <c r="G785" s="13">
        <f>IFERROR(VLOOKUP(B785, 'Price Data'!A:D, 3, FALSE) * VLOOKUP(B785, 'Price Data'!A:D, 4, FALSE) * C785, "")</f>
        <v/>
      </c>
    </row>
    <row r="786">
      <c r="A786" s="1" t="n">
        <v>45766</v>
      </c>
      <c r="B786" t="inlineStr">
        <is>
          <t>ING-065</t>
        </is>
      </c>
      <c r="C786" t="n">
        <v>1</v>
      </c>
      <c r="D786" t="inlineStr">
        <is>
          <t>Expiring</t>
        </is>
      </c>
      <c r="E786" t="inlineStr">
        <is>
          <t>Yes</t>
        </is>
      </c>
      <c r="F786" s="2" t="inlineStr">
        <is>
          <t>Freeze (req)</t>
        </is>
      </c>
      <c r="G786" s="13">
        <f>IFERROR(VLOOKUP(B786, 'Price Data'!A:D, 3, FALSE) * VLOOKUP(B786, 'Price Data'!A:D, 4, FALSE) * C786, "")</f>
        <v/>
      </c>
    </row>
    <row r="787">
      <c r="A787" s="1" t="n">
        <v>45766</v>
      </c>
      <c r="B787" t="inlineStr">
        <is>
          <t>ING-160</t>
        </is>
      </c>
      <c r="C787" t="n">
        <v>1</v>
      </c>
      <c r="D787" t="inlineStr">
        <is>
          <t>Expiring</t>
        </is>
      </c>
      <c r="E787" t="inlineStr">
        <is>
          <t>No</t>
        </is>
      </c>
      <c r="F787" t="inlineStr">
        <is>
          <t>No tamper-proof seal</t>
        </is>
      </c>
      <c r="G787" s="13">
        <f>IFERROR(VLOOKUP(B787, 'Price Data'!A:D, 3, FALSE) * VLOOKUP(B787, 'Price Data'!A:D, 4, FALSE) * C787, "")</f>
        <v/>
      </c>
    </row>
    <row r="788">
      <c r="A788" s="1" t="n">
        <v>45766</v>
      </c>
      <c r="B788" t="inlineStr">
        <is>
          <t>ING-182</t>
        </is>
      </c>
      <c r="C788" t="n">
        <v>2.5</v>
      </c>
      <c r="D788" t="inlineStr">
        <is>
          <t>Expiring</t>
        </is>
      </c>
      <c r="E788" t="inlineStr">
        <is>
          <t>Weak Maybe</t>
        </is>
      </c>
      <c r="F788" t="inlineStr">
        <is>
          <t>Cut produce</t>
        </is>
      </c>
      <c r="G788" s="13">
        <f>IFERROR(VLOOKUP(B788, 'Price Data'!A:D, 3, FALSE) * VLOOKUP(B788, 'Price Data'!A:D, 4, FALSE) * C788, "")</f>
        <v/>
      </c>
    </row>
    <row r="789">
      <c r="A789" s="1" t="n">
        <v>45766</v>
      </c>
      <c r="B789" t="inlineStr">
        <is>
          <t>ING-016</t>
        </is>
      </c>
      <c r="C789" t="n">
        <v>1.5</v>
      </c>
      <c r="D789" t="inlineStr">
        <is>
          <t>Hot Hold</t>
        </is>
      </c>
      <c r="E789" t="inlineStr">
        <is>
          <t>Weak Maybe</t>
        </is>
      </c>
      <c r="F789" t="inlineStr">
        <is>
          <t>Temp. logs req. | Seafood</t>
        </is>
      </c>
      <c r="G789" s="13">
        <f>IFERROR(VLOOKUP(B789, 'Price Data'!A:D, 3, FALSE) * VLOOKUP(B789, 'Price Data'!A:D, 4, FALSE) * C789, "")</f>
        <v/>
      </c>
    </row>
    <row r="790">
      <c r="A790" s="1" t="n">
        <v>45766</v>
      </c>
      <c r="B790" t="inlineStr">
        <is>
          <t>ING-031</t>
        </is>
      </c>
      <c r="C790" t="n">
        <v>0.5</v>
      </c>
      <c r="D790" t="inlineStr">
        <is>
          <t>Expiring</t>
        </is>
      </c>
      <c r="E790" t="inlineStr">
        <is>
          <t>Weak Maybe</t>
        </is>
      </c>
      <c r="F790" t="inlineStr">
        <is>
          <t>No tamper-proof seal</t>
        </is>
      </c>
      <c r="G790" s="13">
        <f>IFERROR(VLOOKUP(B790, 'Price Data'!A:D, 3, FALSE) * VLOOKUP(B790, 'Price Data'!A:D, 4, FALSE) * C790, "")</f>
        <v/>
      </c>
    </row>
    <row r="791">
      <c r="A791" s="1" t="n">
        <v>45766</v>
      </c>
      <c r="B791" t="inlineStr">
        <is>
          <t>ING-109</t>
        </is>
      </c>
      <c r="C791" t="n">
        <v>2.5</v>
      </c>
      <c r="D791" t="inlineStr">
        <is>
          <t>Expiring</t>
        </is>
      </c>
      <c r="E791" t="inlineStr">
        <is>
          <t>Yes</t>
        </is>
      </c>
      <c r="F791" t="inlineStr">
        <is>
          <t>Freeze (req)</t>
        </is>
      </c>
      <c r="G791" s="13">
        <f>IFERROR(VLOOKUP(B791, 'Price Data'!A:D, 3, FALSE) * VLOOKUP(B791, 'Price Data'!A:D, 4, FALSE) * C791, "")</f>
        <v/>
      </c>
    </row>
    <row r="792">
      <c r="A792" s="1" t="n">
        <v>45766</v>
      </c>
      <c r="B792" t="inlineStr">
        <is>
          <t>ING-144</t>
        </is>
      </c>
      <c r="C792" t="n">
        <v>1.5</v>
      </c>
      <c r="D792" t="inlineStr">
        <is>
          <t>Expiring</t>
        </is>
      </c>
      <c r="E792" t="inlineStr">
        <is>
          <t>No</t>
        </is>
      </c>
      <c r="F792" t="inlineStr">
        <is>
          <t>Minimal Utility</t>
        </is>
      </c>
      <c r="G792" s="13">
        <f>IFERROR(VLOOKUP(B792, 'Price Data'!A:D, 3, FALSE) * VLOOKUP(B792, 'Price Data'!A:D, 4, FALSE) * C792, "")</f>
        <v/>
      </c>
    </row>
    <row r="793">
      <c r="A793" s="1" t="n">
        <v>45766</v>
      </c>
      <c r="B793" t="inlineStr">
        <is>
          <t>ING-106</t>
        </is>
      </c>
      <c r="C793" t="n">
        <v>8</v>
      </c>
      <c r="D793" t="inlineStr">
        <is>
          <t>Expiring</t>
        </is>
      </c>
      <c r="E793" t="inlineStr">
        <is>
          <t>Maybe</t>
        </is>
      </c>
      <c r="F793" t="inlineStr">
        <is>
          <t>As is</t>
        </is>
      </c>
      <c r="G793" s="13">
        <f>IFERROR(VLOOKUP(B793, 'Price Data'!A:D, 3, FALSE) * VLOOKUP(B793, 'Price Data'!A:D, 4, FALSE) * C793, "")</f>
        <v/>
      </c>
    </row>
    <row r="794">
      <c r="A794" s="1" t="n">
        <v>45766</v>
      </c>
      <c r="B794" t="inlineStr">
        <is>
          <t>ING-076</t>
        </is>
      </c>
      <c r="C794" t="n">
        <v>1</v>
      </c>
      <c r="D794" t="inlineStr">
        <is>
          <t>Hot Hold</t>
        </is>
      </c>
      <c r="E794" t="inlineStr">
        <is>
          <t>Weak Maybe</t>
        </is>
      </c>
      <c r="F794" t="inlineStr">
        <is>
          <t>Temp. logs req.</t>
        </is>
      </c>
      <c r="G794" s="13">
        <f>IFERROR(VLOOKUP(B794, 'Price Data'!A:D, 3, FALSE) * VLOOKUP(B794, 'Price Data'!A:D, 4, FALSE) * C794, "")</f>
        <v/>
      </c>
    </row>
    <row r="795">
      <c r="A795" s="1" t="n">
        <v>45766</v>
      </c>
      <c r="B795" t="inlineStr">
        <is>
          <t>ING-111</t>
        </is>
      </c>
      <c r="C795" t="n">
        <v>0.5</v>
      </c>
      <c r="D795" t="inlineStr">
        <is>
          <t>Hot Hold</t>
        </is>
      </c>
      <c r="E795" t="inlineStr">
        <is>
          <t>Yes</t>
        </is>
      </c>
      <c r="F795" s="2" t="inlineStr">
        <is>
          <t>Freeze (rec)</t>
        </is>
      </c>
      <c r="G795" s="13">
        <f>IFERROR(VLOOKUP(B795, 'Price Data'!A:D, 3, FALSE) * VLOOKUP(B795, 'Price Data'!A:D, 4, FALSE) * C795, "")</f>
        <v/>
      </c>
    </row>
    <row r="796">
      <c r="A796" s="1" t="n">
        <v>45767</v>
      </c>
      <c r="B796" t="inlineStr">
        <is>
          <t>ING-141</t>
        </is>
      </c>
      <c r="C796" t="n">
        <v>5</v>
      </c>
      <c r="D796" t="inlineStr">
        <is>
          <t>Expiring</t>
        </is>
      </c>
      <c r="E796" t="inlineStr">
        <is>
          <t>Yes</t>
        </is>
      </c>
      <c r="F796" t="inlineStr">
        <is>
          <t>Freeze (rec)</t>
        </is>
      </c>
      <c r="G796" s="13">
        <f>IFERROR(VLOOKUP(B796, 'Price Data'!A:D, 3, FALSE) * VLOOKUP(B796, 'Price Data'!A:D, 4, FALSE) * C796, "")</f>
        <v/>
      </c>
    </row>
    <row r="797">
      <c r="A797" s="1" t="n">
        <v>45767</v>
      </c>
      <c r="B797" t="inlineStr">
        <is>
          <t>ING-162</t>
        </is>
      </c>
      <c r="C797" t="n">
        <v>1</v>
      </c>
      <c r="D797" t="inlineStr">
        <is>
          <t>Expiring</t>
        </is>
      </c>
      <c r="E797" t="inlineStr">
        <is>
          <t>Yes</t>
        </is>
      </c>
      <c r="F797" t="inlineStr">
        <is>
          <t>As is</t>
        </is>
      </c>
      <c r="G797" s="13">
        <f>IFERROR(VLOOKUP(B797, 'Price Data'!A:D, 3, FALSE) * VLOOKUP(B797, 'Price Data'!A:D, 4, FALSE) * C797, "")</f>
        <v/>
      </c>
    </row>
    <row r="798">
      <c r="A798" s="1" t="n">
        <v>45767</v>
      </c>
      <c r="B798" t="inlineStr">
        <is>
          <t>ING-123</t>
        </is>
      </c>
      <c r="C798" t="n">
        <v>2.5</v>
      </c>
      <c r="D798" t="inlineStr">
        <is>
          <t>Expiring</t>
        </is>
      </c>
      <c r="E798" t="inlineStr">
        <is>
          <t>Maybe</t>
        </is>
      </c>
      <c r="F798" t="inlineStr">
        <is>
          <t>As is | Minimal Utility</t>
        </is>
      </c>
      <c r="G798" s="13">
        <f>IFERROR(VLOOKUP(B798, 'Price Data'!A:D, 3, FALSE) * VLOOKUP(B798, 'Price Data'!A:D, 4, FALSE) * C798, "")</f>
        <v/>
      </c>
    </row>
    <row r="799">
      <c r="A799" s="1" t="n">
        <v>45767</v>
      </c>
      <c r="B799" t="inlineStr">
        <is>
          <t>ING-152</t>
        </is>
      </c>
      <c r="C799" t="n">
        <v>1.5</v>
      </c>
      <c r="D799" t="inlineStr">
        <is>
          <t>Hot Hold</t>
        </is>
      </c>
      <c r="E799" t="inlineStr">
        <is>
          <t>Weak Maybe</t>
        </is>
      </c>
      <c r="F799" t="inlineStr">
        <is>
          <t>Temp. logs req.</t>
        </is>
      </c>
      <c r="G799" s="13">
        <f>IFERROR(VLOOKUP(B799, 'Price Data'!A:D, 3, FALSE) * VLOOKUP(B799, 'Price Data'!A:D, 4, FALSE) * C799, "")</f>
        <v/>
      </c>
    </row>
    <row r="800">
      <c r="A800" s="1" t="n">
        <v>45767</v>
      </c>
      <c r="B800" t="inlineStr">
        <is>
          <t>ING-068</t>
        </is>
      </c>
      <c r="C800" t="n">
        <v>2.5</v>
      </c>
      <c r="D800" t="inlineStr">
        <is>
          <t>Hot Hold</t>
        </is>
      </c>
      <c r="E800" t="inlineStr">
        <is>
          <t>Maybe</t>
        </is>
      </c>
      <c r="F800" t="inlineStr">
        <is>
          <t>Temp. logs req.</t>
        </is>
      </c>
      <c r="G800" s="13">
        <f>IFERROR(VLOOKUP(B800, 'Price Data'!A:D, 3, FALSE) * VLOOKUP(B800, 'Price Data'!A:D, 4, FALSE) * C800, "")</f>
        <v/>
      </c>
    </row>
    <row r="801">
      <c r="A801" s="1" t="n">
        <v>45767</v>
      </c>
      <c r="B801" t="inlineStr">
        <is>
          <t>ING-006</t>
        </is>
      </c>
      <c r="C801" t="n">
        <v>5.5</v>
      </c>
      <c r="D801" t="inlineStr">
        <is>
          <t>Expiring</t>
        </is>
      </c>
      <c r="E801" t="inlineStr">
        <is>
          <t>Strong Maybe</t>
        </is>
      </c>
      <c r="F801" t="inlineStr">
        <is>
          <t>Freeze (req) | Seafood</t>
        </is>
      </c>
      <c r="G801" s="13">
        <f>IFERROR(VLOOKUP(B801, 'Price Data'!A:D, 3, FALSE) * VLOOKUP(B801, 'Price Data'!A:D, 4, FALSE) * C801, "")</f>
        <v/>
      </c>
    </row>
    <row r="802">
      <c r="A802" s="1" t="n">
        <v>45767</v>
      </c>
      <c r="B802" t="inlineStr">
        <is>
          <t>ING-095</t>
        </is>
      </c>
      <c r="C802" t="n">
        <v>1.5</v>
      </c>
      <c r="D802" t="inlineStr">
        <is>
          <t>Expiring</t>
        </is>
      </c>
      <c r="E802" t="inlineStr">
        <is>
          <t>Yes</t>
        </is>
      </c>
      <c r="F802" t="inlineStr">
        <is>
          <t>Freeze (req)</t>
        </is>
      </c>
      <c r="G802" s="13">
        <f>IFERROR(VLOOKUP(B802, 'Price Data'!A:D, 3, FALSE) * VLOOKUP(B802, 'Price Data'!A:D, 4, FALSE) * C802, "")</f>
        <v/>
      </c>
    </row>
    <row r="803">
      <c r="A803" s="1" t="n">
        <v>45767</v>
      </c>
      <c r="B803" t="inlineStr">
        <is>
          <t>ING-112</t>
        </is>
      </c>
      <c r="C803" t="n">
        <v>0.5</v>
      </c>
      <c r="D803" t="inlineStr">
        <is>
          <t>Expiring</t>
        </is>
      </c>
      <c r="E803" t="inlineStr">
        <is>
          <t>No</t>
        </is>
      </c>
      <c r="F803" t="inlineStr">
        <is>
          <t>Cut produce | No tamper-proof seal</t>
        </is>
      </c>
      <c r="G803" s="13">
        <f>IFERROR(VLOOKUP(B803, 'Price Data'!A:D, 3, FALSE) * VLOOKUP(B803, 'Price Data'!A:D, 4, FALSE) * C803, "")</f>
        <v/>
      </c>
    </row>
    <row r="804">
      <c r="A804" s="1" t="n">
        <v>45767</v>
      </c>
      <c r="B804" t="inlineStr">
        <is>
          <t>ING-091</t>
        </is>
      </c>
      <c r="C804" t="n">
        <v>3.5</v>
      </c>
      <c r="D804" t="inlineStr">
        <is>
          <t>Expiring</t>
        </is>
      </c>
      <c r="E804" t="inlineStr">
        <is>
          <t>Yes</t>
        </is>
      </c>
      <c r="F804" s="5" t="inlineStr">
        <is>
          <t>Freeze (req)</t>
        </is>
      </c>
      <c r="G804" s="13">
        <f>IFERROR(VLOOKUP(B804, 'Price Data'!A:D, 3, FALSE) * VLOOKUP(B804, 'Price Data'!A:D, 4, FALSE) * C804, "")</f>
        <v/>
      </c>
    </row>
    <row r="805">
      <c r="A805" s="1" t="n">
        <v>45767</v>
      </c>
      <c r="B805" t="inlineStr">
        <is>
          <t>ING-159</t>
        </is>
      </c>
      <c r="C805" t="n">
        <v>1.5</v>
      </c>
      <c r="D805" t="inlineStr">
        <is>
          <t>Hot Hold</t>
        </is>
      </c>
      <c r="E805" t="inlineStr">
        <is>
          <t>Maybe</t>
        </is>
      </c>
      <c r="F805" t="inlineStr">
        <is>
          <t>Freeze (req)</t>
        </is>
      </c>
      <c r="G805" s="13">
        <f>IFERROR(VLOOKUP(B805, 'Price Data'!A:D, 3, FALSE) * VLOOKUP(B805, 'Price Data'!A:D, 4, FALSE) * C805, "")</f>
        <v/>
      </c>
    </row>
    <row r="806">
      <c r="A806" s="1" t="n">
        <v>45767</v>
      </c>
      <c r="B806" t="inlineStr">
        <is>
          <t>ING-039</t>
        </is>
      </c>
      <c r="C806" t="n">
        <v>1</v>
      </c>
      <c r="D806" t="inlineStr">
        <is>
          <t>Expiring</t>
        </is>
      </c>
      <c r="E806" t="inlineStr">
        <is>
          <t>Yes</t>
        </is>
      </c>
      <c r="F806" t="inlineStr">
        <is>
          <t>Freeze (req)</t>
        </is>
      </c>
      <c r="G806" s="13">
        <f>IFERROR(VLOOKUP(B806, 'Price Data'!A:D, 3, FALSE) * VLOOKUP(B806, 'Price Data'!A:D, 4, FALSE) * C806, "")</f>
        <v/>
      </c>
    </row>
    <row r="807">
      <c r="A807" s="1" t="n">
        <v>45767</v>
      </c>
      <c r="B807" t="inlineStr">
        <is>
          <t>ING-076</t>
        </is>
      </c>
      <c r="C807" t="n">
        <v>1</v>
      </c>
      <c r="D807" t="inlineStr">
        <is>
          <t>Hot Hold</t>
        </is>
      </c>
      <c r="E807" t="inlineStr">
        <is>
          <t>Weak Maybe</t>
        </is>
      </c>
      <c r="F807" t="inlineStr">
        <is>
          <t>Temp. logs req.</t>
        </is>
      </c>
      <c r="G807" s="13">
        <f>IFERROR(VLOOKUP(B807, 'Price Data'!A:D, 3, FALSE) * VLOOKUP(B807, 'Price Data'!A:D, 4, FALSE) * C807, "")</f>
        <v/>
      </c>
    </row>
    <row r="808">
      <c r="A808" s="1" t="n">
        <v>45767</v>
      </c>
      <c r="B808" t="inlineStr">
        <is>
          <t>ING-031</t>
        </is>
      </c>
      <c r="C808" t="n">
        <v>0.5</v>
      </c>
      <c r="D808" t="inlineStr">
        <is>
          <t>Expiring</t>
        </is>
      </c>
      <c r="E808" t="inlineStr">
        <is>
          <t>Weak Maybe</t>
        </is>
      </c>
      <c r="F808" t="inlineStr">
        <is>
          <t>No tamper-proof seal</t>
        </is>
      </c>
      <c r="G808" s="13">
        <f>IFERROR(VLOOKUP(B808, 'Price Data'!A:D, 3, FALSE) * VLOOKUP(B808, 'Price Data'!A:D, 4, FALSE) * C808, "")</f>
        <v/>
      </c>
    </row>
    <row r="809">
      <c r="A809" s="1" t="n">
        <v>45767</v>
      </c>
      <c r="B809" t="inlineStr">
        <is>
          <t>ING-056</t>
        </is>
      </c>
      <c r="C809" t="n">
        <v>1</v>
      </c>
      <c r="D809" t="inlineStr">
        <is>
          <t>Hot Hold</t>
        </is>
      </c>
      <c r="E809" t="inlineStr">
        <is>
          <t>No</t>
        </is>
      </c>
      <c r="F809" t="inlineStr">
        <is>
          <t>Temp. logs req. | Cooked produce | Minimal Utility</t>
        </is>
      </c>
      <c r="G809" s="13">
        <f>IFERROR(VLOOKUP(B809, 'Price Data'!A:D, 3, FALSE) * VLOOKUP(B809, 'Price Data'!A:D, 4, FALSE) * C809, "")</f>
        <v/>
      </c>
    </row>
    <row r="810">
      <c r="A810" s="1" t="n">
        <v>45767</v>
      </c>
      <c r="B810" t="inlineStr">
        <is>
          <t>ING-056</t>
        </is>
      </c>
      <c r="C810" t="n">
        <v>0.5</v>
      </c>
      <c r="D810" t="inlineStr">
        <is>
          <t>Hot Hold</t>
        </is>
      </c>
      <c r="E810" t="inlineStr">
        <is>
          <t>No</t>
        </is>
      </c>
      <c r="F810" t="inlineStr">
        <is>
          <t>Temp. logs req. | Cooked produce | Minimal Utility</t>
        </is>
      </c>
      <c r="G810" s="13">
        <f>IFERROR(VLOOKUP(B810, 'Price Data'!A:D, 3, FALSE) * VLOOKUP(B810, 'Price Data'!A:D, 4, FALSE) * C810, "")</f>
        <v/>
      </c>
    </row>
    <row r="811">
      <c r="A811" s="1" t="n">
        <v>45767</v>
      </c>
      <c r="B811" t="inlineStr">
        <is>
          <t>ING-159</t>
        </is>
      </c>
      <c r="C811" t="n">
        <v>0.5</v>
      </c>
      <c r="D811" t="inlineStr">
        <is>
          <t>Hot Hold</t>
        </is>
      </c>
      <c r="E811" t="inlineStr">
        <is>
          <t>Maybe</t>
        </is>
      </c>
      <c r="F811" t="inlineStr">
        <is>
          <t>Freeze (req)</t>
        </is>
      </c>
      <c r="G811" s="13">
        <f>IFERROR(VLOOKUP(B811, 'Price Data'!A:D, 3, FALSE) * VLOOKUP(B811, 'Price Data'!A:D, 4, FALSE) * C811, "")</f>
        <v/>
      </c>
    </row>
    <row r="812">
      <c r="A812" s="1" t="n">
        <v>45767</v>
      </c>
      <c r="B812" t="inlineStr">
        <is>
          <t>ING-087</t>
        </is>
      </c>
      <c r="C812" t="n">
        <v>2</v>
      </c>
      <c r="D812" t="inlineStr">
        <is>
          <t>Expiring</t>
        </is>
      </c>
      <c r="E812" t="inlineStr">
        <is>
          <t>Weak Maybe</t>
        </is>
      </c>
      <c r="F812" t="inlineStr">
        <is>
          <t>No tamper-proof seal</t>
        </is>
      </c>
      <c r="G812" s="13">
        <f>IFERROR(VLOOKUP(B812, 'Price Data'!A:D, 3, FALSE) * VLOOKUP(B812, 'Price Data'!A:D, 4, FALSE) * C812, "")</f>
        <v/>
      </c>
    </row>
    <row r="813">
      <c r="A813" s="1" t="n">
        <v>45767</v>
      </c>
      <c r="B813" t="inlineStr">
        <is>
          <t>ING-139</t>
        </is>
      </c>
      <c r="C813" t="n">
        <v>2.5</v>
      </c>
      <c r="D813" t="inlineStr">
        <is>
          <t>Expiring</t>
        </is>
      </c>
      <c r="E813" t="inlineStr">
        <is>
          <t>Weak Maybe</t>
        </is>
      </c>
      <c r="F813" s="2" t="inlineStr">
        <is>
          <t>As is | Minimal Utility</t>
        </is>
      </c>
      <c r="G813" s="13">
        <f>IFERROR(VLOOKUP(B813, 'Price Data'!A:D, 3, FALSE) * VLOOKUP(B813, 'Price Data'!A:D, 4, FALSE) * C813, "")</f>
        <v/>
      </c>
    </row>
    <row r="814">
      <c r="A814" s="1" t="n">
        <v>45767</v>
      </c>
      <c r="B814" t="inlineStr">
        <is>
          <t>ING-056</t>
        </is>
      </c>
      <c r="C814" t="n">
        <v>4.5</v>
      </c>
      <c r="D814" t="inlineStr">
        <is>
          <t>Hot Hold</t>
        </is>
      </c>
      <c r="E814" t="inlineStr">
        <is>
          <t>No</t>
        </is>
      </c>
      <c r="F814" t="inlineStr">
        <is>
          <t>Temp. logs req. | Cooked produce | Minimal Utility</t>
        </is>
      </c>
      <c r="G814" s="13">
        <f>IFERROR(VLOOKUP(B814, 'Price Data'!A:D, 3, FALSE) * VLOOKUP(B814, 'Price Data'!A:D, 4, FALSE) * C814, "")</f>
        <v/>
      </c>
    </row>
    <row r="815">
      <c r="A815" s="1" t="n">
        <v>45767</v>
      </c>
      <c r="B815" t="inlineStr">
        <is>
          <t>ING-098</t>
        </is>
      </c>
      <c r="C815" t="n">
        <v>1.5</v>
      </c>
      <c r="D815" t="inlineStr">
        <is>
          <t>Expiring</t>
        </is>
      </c>
      <c r="E815" t="inlineStr">
        <is>
          <t>Maybe</t>
        </is>
      </c>
      <c r="F815" t="inlineStr">
        <is>
          <t>No tamper-proof seal, Freeze (req)</t>
        </is>
      </c>
      <c r="G815" s="13">
        <f>IFERROR(VLOOKUP(B815, 'Price Data'!A:D, 3, FALSE) * VLOOKUP(B815, 'Price Data'!A:D, 4, FALSE) * C815, "")</f>
        <v/>
      </c>
    </row>
    <row r="816">
      <c r="A816" s="1" t="n">
        <v>45767</v>
      </c>
      <c r="B816" t="inlineStr">
        <is>
          <t>ING-163</t>
        </is>
      </c>
      <c r="C816" t="n">
        <v>2.5</v>
      </c>
      <c r="D816" t="inlineStr">
        <is>
          <t>Hot Hold</t>
        </is>
      </c>
      <c r="E816" t="inlineStr">
        <is>
          <t>Weak Maybe</t>
        </is>
      </c>
      <c r="F816" t="inlineStr">
        <is>
          <t>Temp. logs req.</t>
        </is>
      </c>
      <c r="G816" s="13">
        <f>IFERROR(VLOOKUP(B816, 'Price Data'!A:D, 3, FALSE) * VLOOKUP(B816, 'Price Data'!A:D, 4, FALSE) * C816, "")</f>
        <v/>
      </c>
    </row>
    <row r="817">
      <c r="A817" s="1" t="n">
        <v>45767</v>
      </c>
      <c r="B817" t="inlineStr">
        <is>
          <t>ING-063</t>
        </is>
      </c>
      <c r="C817" t="n">
        <v>1.5</v>
      </c>
      <c r="D817" t="inlineStr">
        <is>
          <t>Expiring</t>
        </is>
      </c>
      <c r="E817" t="inlineStr">
        <is>
          <t>Weak Maybe</t>
        </is>
      </c>
      <c r="F817" s="5" t="inlineStr">
        <is>
          <t>Cut Produce</t>
        </is>
      </c>
      <c r="G817" s="13">
        <f>IFERROR(VLOOKUP(B817, 'Price Data'!A:D, 3, FALSE) * VLOOKUP(B817, 'Price Data'!A:D, 4, FALSE) * C817, "")</f>
        <v/>
      </c>
    </row>
    <row r="818">
      <c r="A818" s="1" t="n">
        <v>45767</v>
      </c>
      <c r="B818" t="inlineStr">
        <is>
          <t>ING-140</t>
        </is>
      </c>
      <c r="C818" t="n">
        <v>0.5</v>
      </c>
      <c r="D818" t="inlineStr">
        <is>
          <t>Expiring</t>
        </is>
      </c>
      <c r="E818" t="inlineStr">
        <is>
          <t>No</t>
        </is>
      </c>
      <c r="F818" t="inlineStr">
        <is>
          <t>Minimal Utility | No tamper-proof seal</t>
        </is>
      </c>
      <c r="G818" s="13">
        <f>IFERROR(VLOOKUP(B818, 'Price Data'!A:D, 3, FALSE) * VLOOKUP(B818, 'Price Data'!A:D, 4, FALSE) * C818, "")</f>
        <v/>
      </c>
    </row>
    <row r="819">
      <c r="A819" s="1" t="n">
        <v>45767</v>
      </c>
      <c r="B819" t="inlineStr">
        <is>
          <t>ING-016</t>
        </is>
      </c>
      <c r="C819" t="n">
        <v>3</v>
      </c>
      <c r="D819" t="inlineStr">
        <is>
          <t>Expiring</t>
        </is>
      </c>
      <c r="E819" t="inlineStr">
        <is>
          <t>Strong Maybe</t>
        </is>
      </c>
      <c r="F819" t="inlineStr">
        <is>
          <t>Freeze (req) | Seafood</t>
        </is>
      </c>
      <c r="G819" s="13">
        <f>IFERROR(VLOOKUP(B819, 'Price Data'!A:D, 3, FALSE) * VLOOKUP(B819, 'Price Data'!A:D, 4, FALSE) * C819, "")</f>
        <v/>
      </c>
    </row>
    <row r="820">
      <c r="A820" s="1" t="n">
        <v>45767</v>
      </c>
      <c r="B820" t="inlineStr">
        <is>
          <t>ING-104</t>
        </is>
      </c>
      <c r="C820" t="n">
        <v>1.5</v>
      </c>
      <c r="D820" t="inlineStr">
        <is>
          <t>Expiring</t>
        </is>
      </c>
      <c r="E820" t="inlineStr">
        <is>
          <t>No</t>
        </is>
      </c>
      <c r="F820" t="inlineStr">
        <is>
          <t>Temp. logs req. | Minimal Utility</t>
        </is>
      </c>
      <c r="G820" s="13">
        <f>IFERROR(VLOOKUP(B820, 'Price Data'!A:D, 3, FALSE) * VLOOKUP(B820, 'Price Data'!A:D, 4, FALSE) * C820, "")</f>
        <v/>
      </c>
    </row>
    <row r="821">
      <c r="A821" s="1" t="n">
        <v>45767</v>
      </c>
      <c r="B821" t="inlineStr">
        <is>
          <t>ING-097</t>
        </is>
      </c>
      <c r="C821" t="n">
        <v>2.5</v>
      </c>
      <c r="D821" t="inlineStr">
        <is>
          <t>Hot Hold</t>
        </is>
      </c>
      <c r="E821" t="inlineStr">
        <is>
          <t>Weak Maybe</t>
        </is>
      </c>
      <c r="F821" t="inlineStr">
        <is>
          <t>Temp. logs req. | Minimal Utility</t>
        </is>
      </c>
      <c r="G821" s="13">
        <f>IFERROR(VLOOKUP(B821, 'Price Data'!A:D, 3, FALSE) * VLOOKUP(B821, 'Price Data'!A:D, 4, FALSE) * C821, "")</f>
        <v/>
      </c>
    </row>
    <row r="822">
      <c r="A822" s="1" t="n">
        <v>45767</v>
      </c>
      <c r="B822" t="inlineStr">
        <is>
          <t>ING-056</t>
        </is>
      </c>
      <c r="C822" t="n">
        <v>2</v>
      </c>
      <c r="D822" t="inlineStr">
        <is>
          <t>Hot Hold</t>
        </is>
      </c>
      <c r="E822" t="inlineStr">
        <is>
          <t>No</t>
        </is>
      </c>
      <c r="F822" s="2" t="inlineStr">
        <is>
          <t>Temp. logs req. | Cooked produce | Minimal Utility</t>
        </is>
      </c>
      <c r="G822" s="13">
        <f>IFERROR(VLOOKUP(B822, 'Price Data'!A:D, 3, FALSE) * VLOOKUP(B822, 'Price Data'!A:D, 4, FALSE) * C822, "")</f>
        <v/>
      </c>
    </row>
    <row r="823">
      <c r="A823" s="1" t="n"/>
      <c r="B823" s="27" t="n"/>
      <c r="C823" s="29" t="n"/>
      <c r="D823" s="29" t="n"/>
      <c r="E823" s="29" t="n"/>
      <c r="F823" s="29" t="n"/>
      <c r="G823" s="29" t="n"/>
    </row>
    <row r="824">
      <c r="B824" s="28" t="n"/>
      <c r="C824" s="29" t="n"/>
      <c r="D824" s="29" t="n"/>
      <c r="E824" s="29" t="n"/>
      <c r="F824" s="29" t="n"/>
      <c r="G824" s="29" t="n"/>
    </row>
    <row r="825">
      <c r="B825" s="28" t="n"/>
      <c r="C825" s="29" t="n"/>
      <c r="D825" s="29" t="n"/>
      <c r="E825" s="29" t="n"/>
      <c r="F825" s="29" t="n"/>
      <c r="G825" s="29" t="n"/>
    </row>
    <row r="826">
      <c r="B826" s="28" t="n"/>
      <c r="C826" s="29" t="n"/>
      <c r="D826" s="29" t="n"/>
      <c r="E826" s="29" t="n"/>
      <c r="F826" s="29" t="n"/>
      <c r="G826" s="29" t="n"/>
    </row>
    <row r="827">
      <c r="B827" s="28" t="n"/>
      <c r="C827" s="29" t="n"/>
      <c r="D827" s="29" t="n"/>
      <c r="E827" s="29" t="n"/>
      <c r="F827" s="29" t="n"/>
      <c r="G827" s="29" t="n"/>
    </row>
    <row r="828">
      <c r="B828" s="28" t="n"/>
      <c r="C828" s="29" t="n"/>
      <c r="D828" s="29" t="n"/>
      <c r="E828" s="29" t="n"/>
      <c r="F828" s="29" t="n"/>
      <c r="G828" s="29" t="n"/>
    </row>
    <row r="829">
      <c r="C829" s="29" t="n"/>
      <c r="D829" s="29" t="n"/>
      <c r="E829" s="29" t="n"/>
      <c r="F829" s="29" t="n"/>
      <c r="G829" s="29" t="n"/>
    </row>
  </sheetData>
  <conditionalFormatting sqref="A690:A713 A715:A822 A824:A10009">
    <cfRule type="expression" priority="18" dxfId="5">
      <formula>$E689="Weak Maybe"</formula>
    </cfRule>
    <cfRule type="expression" priority="19" dxfId="8">
      <formula>$E689="Maybe"</formula>
    </cfRule>
    <cfRule type="expression" priority="20" dxfId="7">
      <formula>$E689="No"</formula>
    </cfRule>
    <cfRule type="expression" priority="21" dxfId="6">
      <formula>$E689="Yes"</formula>
    </cfRule>
  </conditionalFormatting>
  <conditionalFormatting sqref="A714">
    <cfRule type="expression" priority="28" dxfId="5">
      <formula>$E712="Weak Maybe"</formula>
    </cfRule>
    <cfRule type="expression" priority="29" dxfId="8">
      <formula>$E712="Maybe"</formula>
    </cfRule>
    <cfRule type="expression" priority="30" dxfId="7">
      <formula>$E712="No"</formula>
    </cfRule>
    <cfRule type="expression" priority="31" dxfId="6">
      <formula>$E712="Yes"</formula>
    </cfRule>
  </conditionalFormatting>
  <conditionalFormatting sqref="A1:F442 A443 A444:F822 A824:F10008 B823:F823 C443:F443 C823:G829">
    <cfRule type="expression" priority="1" dxfId="9">
      <formula>$E1="Strong Maybe"</formula>
    </cfRule>
    <cfRule type="expression" priority="9" dxfId="8">
      <formula>$E1="Maybe"</formula>
    </cfRule>
    <cfRule type="expression" priority="10" dxfId="7">
      <formula>$E1="No"</formula>
    </cfRule>
    <cfRule type="expression" priority="11" dxfId="6">
      <formula>$E1="Yes"</formula>
    </cfRule>
    <cfRule type="expression" priority="8" dxfId="5">
      <formula>$E1="Weak Maybe"</formula>
    </cfRule>
  </conditionalFormatting>
  <conditionalFormatting sqref="G2:G822 G824:G1008">
    <cfRule type="cellIs" priority="3" operator="between" dxfId="4">
      <formula>30</formula>
      <formula>49.99</formula>
    </cfRule>
    <cfRule type="cellIs" priority="4" operator="between" dxfId="3">
      <formula>15</formula>
      <formula>29.99</formula>
    </cfRule>
    <cfRule type="cellIs" priority="5" operator="between" dxfId="2">
      <formula>5</formula>
      <formula>14.99</formula>
    </cfRule>
    <cfRule type="cellIs" priority="6" operator="lessThan" dxfId="1">
      <formula>5</formula>
    </cfRule>
    <cfRule type="expression" priority="2" dxfId="0">
      <formula>AND($G2 &gt;= 50, $G2 &lt;&gt; "")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D1FC74"/>
    <outlinePr summaryBelow="1" summaryRight="1"/>
    <pageSetUpPr/>
  </sheetPr>
  <dimension ref="A1:H143"/>
  <sheetViews>
    <sheetView topLeftCell="A68" zoomScaleNormal="100" zoomScaleSheetLayoutView="100" workbookViewId="0">
      <selection activeCell="A78" sqref="A78"/>
    </sheetView>
  </sheetViews>
  <sheetFormatPr baseColWidth="8" defaultRowHeight="15"/>
  <cols>
    <col width="23.85546875" bestFit="1" customWidth="1" min="1" max="1"/>
    <col width="15.140625" bestFit="1" customWidth="1" min="2" max="3"/>
    <col width="30.7109375" bestFit="1" customWidth="1" style="14" min="4" max="4"/>
    <col width="36.5703125" bestFit="1" customWidth="1" min="5" max="5"/>
    <col width="20.7109375" bestFit="1" customWidth="1" min="6" max="6"/>
    <col width="36.5703125" bestFit="1" customWidth="1" min="7" max="7"/>
    <col width="24" bestFit="1" customWidth="1" min="8" max="8"/>
  </cols>
  <sheetData>
    <row r="1" ht="30" customHeight="1">
      <c r="A1" s="16" t="inlineStr">
        <is>
          <t>Food Item</t>
        </is>
      </c>
      <c r="B1" s="17" t="inlineStr">
        <is>
          <t>Unit Weight (grams)</t>
        </is>
      </c>
      <c r="C1" s="17" t="inlineStr">
        <is>
          <t>Servings per Unit</t>
        </is>
      </c>
      <c r="D1" s="19" t="inlineStr">
        <is>
          <t>Potential Revenue per Serving ($)</t>
        </is>
      </c>
      <c r="E1" s="16" t="inlineStr">
        <is>
          <t>Price Confidence</t>
        </is>
      </c>
      <c r="F1" s="21" t="inlineStr">
        <is>
          <t>Operational Role</t>
        </is>
      </c>
      <c r="G1" s="18" t="inlineStr">
        <is>
          <t>Dishes</t>
        </is>
      </c>
      <c r="H1" s="18" t="inlineStr">
        <is>
          <t>Food Category</t>
        </is>
      </c>
    </row>
    <row r="2" ht="30" customHeight="1">
      <c r="A2" t="inlineStr">
        <is>
          <t>ING-098</t>
        </is>
      </c>
      <c r="B2" t="n">
        <v>142</v>
      </c>
      <c r="C2" t="n">
        <v>7.5</v>
      </c>
      <c r="D2" s="14" t="n">
        <v>0.89</v>
      </c>
      <c r="E2" t="n">
        <v>3.5</v>
      </c>
      <c r="F2" s="20" t="inlineStr">
        <is>
          <t>Support Component</t>
        </is>
      </c>
      <c r="G2" s="2" t="inlineStr">
        <is>
          <t>DISH-104 [.95] | DISH-069 [.05]</t>
        </is>
      </c>
      <c r="H2" s="2" t="inlineStr">
        <is>
          <t>Red Meat</t>
        </is>
      </c>
    </row>
    <row r="3" ht="30" customHeight="1">
      <c r="A3" t="inlineStr">
        <is>
          <t>ING-129</t>
        </is>
      </c>
      <c r="B3" t="n">
        <v>336.5</v>
      </c>
      <c r="C3" t="n">
        <v>1</v>
      </c>
      <c r="D3" s="14" t="n">
        <v>5.66</v>
      </c>
      <c r="E3" t="n">
        <v>4.5</v>
      </c>
      <c r="F3" s="20" t="inlineStr">
        <is>
          <t>Core Component</t>
        </is>
      </c>
      <c r="G3" s="2" t="inlineStr">
        <is>
          <t>DISH-058 [.5] | DISH-036 [.5]</t>
        </is>
      </c>
      <c r="H3" s="2" t="inlineStr">
        <is>
          <t>Starches</t>
        </is>
      </c>
    </row>
    <row r="4" ht="60" customHeight="1">
      <c r="A4" t="inlineStr">
        <is>
          <t>ING-058</t>
        </is>
      </c>
      <c r="B4" t="n">
        <v>399.4</v>
      </c>
      <c r="C4" t="n">
        <v>1</v>
      </c>
      <c r="D4" s="14" t="n">
        <v>10.06</v>
      </c>
      <c r="E4" t="n">
        <v>4</v>
      </c>
      <c r="F4" s="20" t="inlineStr">
        <is>
          <t>Core Component</t>
        </is>
      </c>
      <c r="G4" s="2" t="inlineStr">
        <is>
          <t>DISH-106 [.25] | DISH-013 [.25] | DISH-040 [.25] | DISH-024 [.25]</t>
        </is>
      </c>
      <c r="H4" s="2" t="inlineStr">
        <is>
          <t>Grains</t>
        </is>
      </c>
    </row>
    <row r="5">
      <c r="A5" t="inlineStr">
        <is>
          <t>ING-021</t>
        </is>
      </c>
      <c r="B5" t="n">
        <v>285</v>
      </c>
      <c r="C5" t="n">
        <v>1</v>
      </c>
      <c r="D5" s="14" t="n">
        <v>5.04</v>
      </c>
      <c r="E5" t="n">
        <v>5</v>
      </c>
      <c r="F5" s="20" t="inlineStr">
        <is>
          <t>Core Component</t>
        </is>
      </c>
      <c r="G5" t="inlineStr">
        <is>
          <t>DISH-007 [1]</t>
        </is>
      </c>
      <c r="H5" t="inlineStr">
        <is>
          <t>Legumes</t>
        </is>
      </c>
    </row>
    <row r="6">
      <c r="A6" t="inlineStr">
        <is>
          <t>ING-137</t>
        </is>
      </c>
      <c r="B6" t="n">
        <v>509.8</v>
      </c>
      <c r="C6" t="n">
        <v>1</v>
      </c>
      <c r="D6" s="14" t="n">
        <v>15.35</v>
      </c>
      <c r="E6" t="n">
        <v>4.5</v>
      </c>
      <c r="F6" s="20" t="inlineStr">
        <is>
          <t>Core Component</t>
        </is>
      </c>
      <c r="G6" t="inlineStr">
        <is>
          <t>DISH-110 [1]</t>
        </is>
      </c>
      <c r="H6" t="inlineStr">
        <is>
          <t>Red Meat | Vegetables</t>
        </is>
      </c>
    </row>
    <row r="7">
      <c r="A7" t="inlineStr">
        <is>
          <t>ING-142</t>
        </is>
      </c>
      <c r="B7" t="n">
        <v>267.7</v>
      </c>
      <c r="C7" t="n">
        <v>1</v>
      </c>
      <c r="D7" s="14" t="n">
        <v>15.45</v>
      </c>
      <c r="E7" t="n">
        <v>4.5</v>
      </c>
      <c r="F7" s="20" t="inlineStr">
        <is>
          <t>Core Component</t>
        </is>
      </c>
      <c r="G7" t="inlineStr">
        <is>
          <t>DISH-061 [1]</t>
        </is>
      </c>
      <c r="H7" t="inlineStr">
        <is>
          <t>Red Meat</t>
        </is>
      </c>
    </row>
    <row r="8">
      <c r="A8" t="inlineStr">
        <is>
          <t>ING-067</t>
        </is>
      </c>
      <c r="B8" t="n">
        <v>535.7</v>
      </c>
      <c r="C8" t="n">
        <v>1</v>
      </c>
      <c r="D8" s="14" t="n">
        <v>17.5</v>
      </c>
      <c r="E8" t="n">
        <v>5</v>
      </c>
      <c r="F8" s="20" t="inlineStr">
        <is>
          <t>Core Component</t>
        </is>
      </c>
      <c r="G8" t="inlineStr">
        <is>
          <t>DISH-052 [1]</t>
        </is>
      </c>
      <c r="H8" t="inlineStr">
        <is>
          <t>Red Meat | Sauces &amp; Condiments</t>
        </is>
      </c>
    </row>
    <row r="9" ht="45" customHeight="1">
      <c r="A9" t="inlineStr">
        <is>
          <t>ING-110</t>
        </is>
      </c>
      <c r="B9" t="n">
        <v>450.3</v>
      </c>
      <c r="C9" t="n">
        <v>3</v>
      </c>
      <c r="D9" s="14" t="n">
        <v>5.51</v>
      </c>
      <c r="E9" t="n">
        <v>4.5</v>
      </c>
      <c r="F9" s="20" t="inlineStr">
        <is>
          <t>Modular Protein</t>
        </is>
      </c>
      <c r="G9" s="2" t="inlineStr">
        <is>
          <t>DISH-040 [.75] | DISH-010 [.125] | DISH-042 [.125]</t>
        </is>
      </c>
      <c r="H9" s="2" t="inlineStr">
        <is>
          <t>Red Meat</t>
        </is>
      </c>
    </row>
    <row r="10" ht="60" customHeight="1">
      <c r="A10" t="inlineStr">
        <is>
          <t>ING-089</t>
        </is>
      </c>
      <c r="B10" t="n">
        <v>457.4</v>
      </c>
      <c r="C10" t="n">
        <v>3</v>
      </c>
      <c r="D10" s="14" t="n">
        <v>4.36</v>
      </c>
      <c r="E10" t="n">
        <v>4.5</v>
      </c>
      <c r="F10" s="20" t="inlineStr">
        <is>
          <t>Modular Protein</t>
        </is>
      </c>
      <c r="G10" s="2" t="inlineStr">
        <is>
          <t>DISH-102 [.35] | DISH-056 [.4] | DISH-120 [.125] | DISH-101 [.125]</t>
        </is>
      </c>
      <c r="H10" s="2" t="inlineStr">
        <is>
          <t>Poultry</t>
        </is>
      </c>
    </row>
    <row r="11">
      <c r="A11" t="inlineStr">
        <is>
          <t>ING-127</t>
        </is>
      </c>
      <c r="B11" t="n">
        <v>507.5</v>
      </c>
      <c r="C11" t="n">
        <v>1</v>
      </c>
      <c r="D11" s="14" t="n">
        <v>9.44</v>
      </c>
      <c r="E11" t="n">
        <v>5</v>
      </c>
      <c r="F11" s="20" t="inlineStr">
        <is>
          <t>Variant Driver</t>
        </is>
      </c>
      <c r="G11" t="inlineStr">
        <is>
          <t>DISH-122 [1]</t>
        </is>
      </c>
      <c r="H11" t="inlineStr">
        <is>
          <t>Sauces &amp; Condiments</t>
        </is>
      </c>
    </row>
    <row r="12" ht="30" customHeight="1">
      <c r="A12" t="inlineStr">
        <is>
          <t>ING-109</t>
        </is>
      </c>
      <c r="B12" t="n">
        <v>4306.2</v>
      </c>
      <c r="C12" t="n">
        <v>18</v>
      </c>
      <c r="D12" s="14" t="n">
        <v>12.4</v>
      </c>
      <c r="E12" t="n">
        <v>4</v>
      </c>
      <c r="F12" s="20" t="inlineStr">
        <is>
          <t>Core Component</t>
        </is>
      </c>
      <c r="G12" s="2" t="inlineStr">
        <is>
          <t>DISH-011 [.75] | DISH-054 [.25]</t>
        </is>
      </c>
      <c r="H12" s="2" t="inlineStr">
        <is>
          <t>Poultry</t>
        </is>
      </c>
    </row>
    <row r="13" ht="30" customHeight="1">
      <c r="A13" t="inlineStr">
        <is>
          <t>ING-048</t>
        </is>
      </c>
      <c r="B13" t="n">
        <v>4697.4</v>
      </c>
      <c r="C13" t="n">
        <v>21</v>
      </c>
      <c r="D13" s="14" t="n">
        <v>9.710000000000001</v>
      </c>
      <c r="E13" t="n">
        <v>4</v>
      </c>
      <c r="F13" s="20" t="inlineStr">
        <is>
          <t>Core Component</t>
        </is>
      </c>
      <c r="G13" s="2" t="inlineStr">
        <is>
          <t>DISH-022 [.75] | DISH-079 [.25]</t>
        </is>
      </c>
      <c r="H13" s="2" t="inlineStr">
        <is>
          <t>Poultry</t>
        </is>
      </c>
    </row>
    <row r="14">
      <c r="A14" t="inlineStr">
        <is>
          <t>ING-053</t>
        </is>
      </c>
      <c r="B14" t="n">
        <v>75</v>
      </c>
      <c r="C14" t="n">
        <v>1</v>
      </c>
      <c r="D14" s="14" t="n">
        <v>1.09</v>
      </c>
      <c r="E14" t="n">
        <v>4.5</v>
      </c>
      <c r="F14" t="inlineStr">
        <is>
          <t>Support Component</t>
        </is>
      </c>
      <c r="G14" t="inlineStr">
        <is>
          <t>DISH-039 [1]</t>
        </is>
      </c>
      <c r="H14" t="inlineStr">
        <is>
          <t>Sauces &amp; Condiments</t>
        </is>
      </c>
    </row>
    <row r="15">
      <c r="A15" t="inlineStr">
        <is>
          <t>ING-111</t>
        </is>
      </c>
      <c r="B15" t="n">
        <v>356</v>
      </c>
      <c r="C15" t="n">
        <v>1</v>
      </c>
      <c r="D15" s="14" t="n">
        <v>25.6</v>
      </c>
      <c r="E15" t="n">
        <v>4</v>
      </c>
      <c r="F15" s="20" t="inlineStr">
        <is>
          <t>Core Component</t>
        </is>
      </c>
      <c r="G15" t="inlineStr">
        <is>
          <t>DISH-038 [1]</t>
        </is>
      </c>
      <c r="H15" t="inlineStr">
        <is>
          <t>Red Meat</t>
        </is>
      </c>
    </row>
    <row r="16" ht="30" customHeight="1">
      <c r="A16" t="inlineStr">
        <is>
          <t>ING-095</t>
        </is>
      </c>
      <c r="B16" t="n">
        <v>242.7</v>
      </c>
      <c r="C16" t="n">
        <v>1</v>
      </c>
      <c r="D16" s="14" t="n">
        <v>28.63</v>
      </c>
      <c r="E16" t="n">
        <v>5</v>
      </c>
      <c r="F16" s="20" t="inlineStr">
        <is>
          <t>Core Component</t>
        </is>
      </c>
      <c r="G16" s="2" t="inlineStr">
        <is>
          <t>DISH-025 [.5] | DISH-103 [.5]</t>
        </is>
      </c>
      <c r="H16" s="2" t="inlineStr">
        <is>
          <t>Seafood</t>
        </is>
      </c>
    </row>
    <row r="17">
      <c r="A17" t="inlineStr">
        <is>
          <t>ING-032</t>
        </is>
      </c>
      <c r="B17" t="n">
        <v>438.6</v>
      </c>
      <c r="C17" t="n">
        <v>4</v>
      </c>
      <c r="D17" s="14" t="n">
        <v>10.41</v>
      </c>
      <c r="E17" t="n">
        <v>4.5</v>
      </c>
      <c r="F17" t="inlineStr">
        <is>
          <t>Primary Component</t>
        </is>
      </c>
      <c r="G17" t="inlineStr">
        <is>
          <t>DISH-117 [1]</t>
        </is>
      </c>
      <c r="H17" t="inlineStr">
        <is>
          <t>Red Meat</t>
        </is>
      </c>
    </row>
    <row r="18" ht="30" customHeight="1">
      <c r="A18" s="2" t="inlineStr">
        <is>
          <t>ING-023</t>
        </is>
      </c>
      <c r="B18" t="n">
        <v>174.1</v>
      </c>
      <c r="C18" t="n">
        <v>1</v>
      </c>
      <c r="D18" s="14" t="n">
        <v>3.44</v>
      </c>
      <c r="E18" t="n">
        <v>4</v>
      </c>
      <c r="F18" s="20" t="inlineStr">
        <is>
          <t>Core Component</t>
        </is>
      </c>
      <c r="G18" s="2" t="inlineStr">
        <is>
          <t>DISH-046 [.34] | DISH-060 [.66]</t>
        </is>
      </c>
      <c r="H18" s="2" t="inlineStr">
        <is>
          <t>Vegetables</t>
        </is>
      </c>
    </row>
    <row r="19" ht="30" customHeight="1">
      <c r="A19" t="inlineStr">
        <is>
          <t>ING-154</t>
        </is>
      </c>
      <c r="B19" t="n">
        <v>202.1</v>
      </c>
      <c r="C19" t="n">
        <v>1</v>
      </c>
      <c r="D19" s="14" t="n">
        <v>1.95</v>
      </c>
      <c r="E19" t="n">
        <v>4</v>
      </c>
      <c r="F19" s="20" t="inlineStr">
        <is>
          <t>Core Component</t>
        </is>
      </c>
      <c r="G19" s="2" t="inlineStr">
        <is>
          <t>DISH-048 [.6] | DISH-110 [.4]</t>
        </is>
      </c>
      <c r="H19" s="2" t="inlineStr">
        <is>
          <t>Sauces &amp; Condiments</t>
        </is>
      </c>
    </row>
    <row r="20" ht="30" customHeight="1">
      <c r="A20" t="inlineStr">
        <is>
          <t>ING-045</t>
        </is>
      </c>
      <c r="B20" t="n">
        <v>225.8</v>
      </c>
      <c r="C20" t="n">
        <v>1</v>
      </c>
      <c r="D20" s="14" t="n">
        <v>7.48</v>
      </c>
      <c r="E20" t="n">
        <v>3.5</v>
      </c>
      <c r="F20" s="20" t="inlineStr">
        <is>
          <t>Core Component</t>
        </is>
      </c>
      <c r="G20" s="2" t="inlineStr">
        <is>
          <t>DISH-108 [.5] | DISH-063 [.5]</t>
        </is>
      </c>
      <c r="H20" s="2" t="inlineStr">
        <is>
          <t>Vegetables</t>
        </is>
      </c>
    </row>
    <row r="21">
      <c r="A21" t="inlineStr">
        <is>
          <t>ING-055</t>
        </is>
      </c>
      <c r="B21" t="n">
        <v>592.2</v>
      </c>
      <c r="C21" t="n">
        <v>1</v>
      </c>
      <c r="D21" s="14" t="n">
        <v>12.54</v>
      </c>
      <c r="E21" t="n">
        <v>4</v>
      </c>
      <c r="F21" s="20" t="inlineStr">
        <is>
          <t>Core Component</t>
        </is>
      </c>
      <c r="G21" t="inlineStr">
        <is>
          <t>DISH-006 [1]</t>
        </is>
      </c>
      <c r="H21" t="inlineStr">
        <is>
          <t>Plant Proteins | Vegetables</t>
        </is>
      </c>
    </row>
    <row r="22">
      <c r="A22" t="inlineStr">
        <is>
          <t>ING-125</t>
        </is>
      </c>
      <c r="B22" t="n">
        <v>320</v>
      </c>
      <c r="C22" t="n">
        <v>1</v>
      </c>
      <c r="D22" s="14" t="n">
        <v>2.23</v>
      </c>
      <c r="E22" t="n">
        <v>5</v>
      </c>
      <c r="F22" s="20" t="inlineStr">
        <is>
          <t>Variant Driver</t>
        </is>
      </c>
      <c r="G22" t="inlineStr">
        <is>
          <t>DISH-019 [1]</t>
        </is>
      </c>
      <c r="H22" t="inlineStr">
        <is>
          <t>Legumes</t>
        </is>
      </c>
    </row>
    <row r="23">
      <c r="A23" t="inlineStr">
        <is>
          <t>ING-025</t>
        </is>
      </c>
      <c r="B23" t="n">
        <v>432.1</v>
      </c>
      <c r="C23" t="n">
        <v>15</v>
      </c>
      <c r="D23" s="14" t="n">
        <v>0.9</v>
      </c>
      <c r="E23" t="n">
        <v>3</v>
      </c>
      <c r="F23" s="20" t="inlineStr">
        <is>
          <t>Variant Driver</t>
        </is>
      </c>
      <c r="G23" t="inlineStr">
        <is>
          <t>DISH-059 [1]</t>
        </is>
      </c>
      <c r="H23" t="inlineStr">
        <is>
          <t>Dairy</t>
        </is>
      </c>
    </row>
    <row r="24">
      <c r="A24" t="inlineStr">
        <is>
          <t>ING-112</t>
        </is>
      </c>
      <c r="B24" t="n">
        <v>499.9</v>
      </c>
      <c r="C24" t="n">
        <v>10</v>
      </c>
      <c r="D24" s="14" t="n">
        <v>1.03</v>
      </c>
      <c r="E24" t="n">
        <v>5</v>
      </c>
      <c r="F24" s="20" t="inlineStr">
        <is>
          <t>Support Component</t>
        </is>
      </c>
      <c r="G24" t="inlineStr">
        <is>
          <t>DISH-112 [1]</t>
        </is>
      </c>
      <c r="H24" t="inlineStr">
        <is>
          <t>Vegetables</t>
        </is>
      </c>
    </row>
    <row r="25" ht="30" customHeight="1">
      <c r="A25" t="inlineStr">
        <is>
          <t>ING-071</t>
        </is>
      </c>
      <c r="B25" t="n">
        <v>453.9</v>
      </c>
      <c r="C25" t="n">
        <v>2</v>
      </c>
      <c r="D25" s="14" t="n">
        <v>6.59</v>
      </c>
      <c r="E25" t="n">
        <v>5</v>
      </c>
      <c r="F25" s="20" t="inlineStr">
        <is>
          <t>Base/Carrier</t>
        </is>
      </c>
      <c r="G25" s="2" t="inlineStr">
        <is>
          <t>DISH-050 [1]</t>
        </is>
      </c>
      <c r="H25" s="2" t="inlineStr">
        <is>
          <t>Grains</t>
        </is>
      </c>
    </row>
    <row r="26" ht="30" customHeight="1">
      <c r="A26" t="inlineStr">
        <is>
          <t>ING-030</t>
        </is>
      </c>
      <c r="B26" t="n">
        <v>398.2</v>
      </c>
      <c r="C26" t="n">
        <v>2</v>
      </c>
      <c r="D26" s="14" t="n">
        <v>8.699999999999999</v>
      </c>
      <c r="E26" t="n">
        <v>5</v>
      </c>
      <c r="F26" s="20" t="inlineStr">
        <is>
          <t>Base/Carrier</t>
        </is>
      </c>
      <c r="G26" s="2" t="inlineStr">
        <is>
          <t>DISH-044 [1]</t>
        </is>
      </c>
      <c r="H26" s="2" t="inlineStr">
        <is>
          <t>Grains</t>
        </is>
      </c>
    </row>
    <row r="27">
      <c r="A27" t="inlineStr">
        <is>
          <t>ING-131</t>
        </is>
      </c>
      <c r="B27" t="n">
        <v>573.3</v>
      </c>
      <c r="C27" t="n">
        <v>2</v>
      </c>
      <c r="D27" s="14" t="n">
        <v>8.15</v>
      </c>
      <c r="E27" t="n">
        <v>5</v>
      </c>
      <c r="F27" s="20" t="inlineStr">
        <is>
          <t>Core Component</t>
        </is>
      </c>
      <c r="G27" t="inlineStr">
        <is>
          <t>DISH-076 [1]</t>
        </is>
      </c>
      <c r="H27" t="inlineStr">
        <is>
          <t>Red Meat | Grains</t>
        </is>
      </c>
    </row>
    <row r="28">
      <c r="A28" t="inlineStr">
        <is>
          <t>ING-022</t>
        </is>
      </c>
      <c r="B28" t="n">
        <v>479.6</v>
      </c>
      <c r="C28" t="n">
        <v>10</v>
      </c>
      <c r="D28" s="14" t="n">
        <v>0.87</v>
      </c>
      <c r="E28" t="n">
        <v>5</v>
      </c>
      <c r="F28" s="20" t="inlineStr">
        <is>
          <t>Support Component</t>
        </is>
      </c>
      <c r="G28" t="inlineStr">
        <is>
          <t>DISH-112 [1]</t>
        </is>
      </c>
      <c r="H28" t="inlineStr">
        <is>
          <t>Vegetables</t>
        </is>
      </c>
    </row>
    <row r="29">
      <c r="A29" t="inlineStr">
        <is>
          <t>ING-145</t>
        </is>
      </c>
      <c r="B29" t="n">
        <v>315.1</v>
      </c>
      <c r="C29" t="n">
        <v>1</v>
      </c>
      <c r="D29" s="14" t="n">
        <v>12.75</v>
      </c>
      <c r="E29" t="n">
        <v>4.5</v>
      </c>
      <c r="F29" s="20" t="inlineStr">
        <is>
          <t>Core Component</t>
        </is>
      </c>
      <c r="G29" t="inlineStr">
        <is>
          <t>DISH-034 [1]</t>
        </is>
      </c>
      <c r="H29" t="inlineStr">
        <is>
          <t>Red Meat</t>
        </is>
      </c>
    </row>
    <row r="30">
      <c r="A30" t="inlineStr">
        <is>
          <t>ING-009</t>
        </is>
      </c>
      <c r="B30" t="n">
        <v>163.1</v>
      </c>
      <c r="C30" t="n">
        <v>1</v>
      </c>
      <c r="D30" s="14" t="n">
        <v>9.69</v>
      </c>
      <c r="E30" t="n">
        <v>4.5</v>
      </c>
      <c r="F30" s="20" t="inlineStr">
        <is>
          <t>Core Component</t>
        </is>
      </c>
      <c r="G30" t="inlineStr">
        <is>
          <t>DISH-088 [1]</t>
        </is>
      </c>
      <c r="H30" t="inlineStr">
        <is>
          <t>Vegetables</t>
        </is>
      </c>
    </row>
    <row r="31">
      <c r="A31" s="2" t="inlineStr">
        <is>
          <t>ING-084</t>
        </is>
      </c>
      <c r="B31" t="n">
        <v>453</v>
      </c>
      <c r="C31" t="n">
        <v>15</v>
      </c>
      <c r="D31" s="14" t="n">
        <v>1.51</v>
      </c>
      <c r="E31" t="n">
        <v>4.5</v>
      </c>
      <c r="F31" s="20" t="inlineStr">
        <is>
          <t>Support Component</t>
        </is>
      </c>
      <c r="G31" t="inlineStr">
        <is>
          <t>DISH-036 [1]</t>
        </is>
      </c>
      <c r="H31" t="inlineStr">
        <is>
          <t>Dairy</t>
        </is>
      </c>
    </row>
    <row r="32">
      <c r="A32" t="inlineStr">
        <is>
          <t>ING-146</t>
        </is>
      </c>
      <c r="B32" t="n">
        <v>115.5</v>
      </c>
      <c r="C32" t="n">
        <v>1</v>
      </c>
      <c r="D32" s="14" t="n">
        <v>0.93</v>
      </c>
      <c r="E32" t="n">
        <v>5</v>
      </c>
      <c r="F32" s="20" t="inlineStr">
        <is>
          <t>Variant Driver</t>
        </is>
      </c>
      <c r="G32" t="inlineStr">
        <is>
          <t>DISH-092 [1]</t>
        </is>
      </c>
      <c r="H32" t="inlineStr">
        <is>
          <t>Dairy</t>
        </is>
      </c>
    </row>
    <row r="33">
      <c r="A33" t="inlineStr">
        <is>
          <t>ING-008</t>
        </is>
      </c>
      <c r="B33" t="n">
        <v>440.1</v>
      </c>
      <c r="C33" t="n">
        <v>1</v>
      </c>
      <c r="D33" s="14" t="n">
        <v>13.96</v>
      </c>
      <c r="E33" t="n">
        <v>4</v>
      </c>
      <c r="F33" s="20" t="inlineStr">
        <is>
          <t>Core Component</t>
        </is>
      </c>
      <c r="G33" t="inlineStr">
        <is>
          <t>DISH-048 [1]</t>
        </is>
      </c>
      <c r="H33" t="inlineStr">
        <is>
          <t>Poultry | Vegetables</t>
        </is>
      </c>
    </row>
    <row r="34">
      <c r="A34" s="2" t="inlineStr">
        <is>
          <t>ING-107</t>
        </is>
      </c>
      <c r="B34" t="n">
        <v>169.1</v>
      </c>
      <c r="C34" t="n">
        <v>1</v>
      </c>
      <c r="D34" s="14" t="n">
        <v>9.15</v>
      </c>
      <c r="E34" t="n">
        <v>4</v>
      </c>
      <c r="F34" s="20" t="inlineStr">
        <is>
          <t>Core Component</t>
        </is>
      </c>
      <c r="G34" t="inlineStr">
        <is>
          <t>DISH-087 [1]</t>
        </is>
      </c>
      <c r="H34" t="inlineStr">
        <is>
          <t>Poultry | Red Meat</t>
        </is>
      </c>
    </row>
    <row r="35" ht="30" customHeight="1">
      <c r="A35" t="inlineStr">
        <is>
          <t>ING-164</t>
        </is>
      </c>
      <c r="B35" t="n">
        <v>528.3</v>
      </c>
      <c r="C35" t="n">
        <v>3</v>
      </c>
      <c r="D35" s="14" t="n">
        <v>10.84</v>
      </c>
      <c r="E35" t="n">
        <v>4</v>
      </c>
      <c r="F35" s="20" t="inlineStr">
        <is>
          <t>Core Component</t>
        </is>
      </c>
      <c r="G35" s="2" t="inlineStr">
        <is>
          <t>DISH-115 [.75] | DISH-023 [.25]</t>
        </is>
      </c>
      <c r="H35" s="2" t="inlineStr">
        <is>
          <t>Poultry</t>
        </is>
      </c>
    </row>
    <row r="36">
      <c r="A36" t="inlineStr">
        <is>
          <t>ING-114</t>
        </is>
      </c>
      <c r="B36" t="n">
        <v>347.4</v>
      </c>
      <c r="C36" t="n">
        <v>3</v>
      </c>
      <c r="D36" s="14" t="n">
        <v>3.45</v>
      </c>
      <c r="E36" t="n">
        <v>4</v>
      </c>
      <c r="F36" s="20" t="inlineStr">
        <is>
          <t>Core Component</t>
        </is>
      </c>
      <c r="G36" t="inlineStr">
        <is>
          <t>DISH-091 [1]</t>
        </is>
      </c>
      <c r="H36" t="inlineStr">
        <is>
          <t>Poultry</t>
        </is>
      </c>
    </row>
    <row r="37">
      <c r="A37" t="inlineStr">
        <is>
          <t>ING-005</t>
        </is>
      </c>
      <c r="B37" t="n">
        <v>299.7</v>
      </c>
      <c r="C37" t="n">
        <v>1</v>
      </c>
      <c r="D37" s="14" t="n">
        <v>12.51</v>
      </c>
      <c r="E37" t="n">
        <v>5</v>
      </c>
      <c r="F37" s="20" t="inlineStr">
        <is>
          <t>Core Component</t>
        </is>
      </c>
      <c r="G37" t="inlineStr">
        <is>
          <t>DISH-066 [1]</t>
        </is>
      </c>
      <c r="H37" t="inlineStr">
        <is>
          <t>Poultry</t>
        </is>
      </c>
    </row>
    <row r="38">
      <c r="A38" t="inlineStr">
        <is>
          <t>ING-074</t>
        </is>
      </c>
      <c r="B38" t="n">
        <v>478.3</v>
      </c>
      <c r="C38" t="n">
        <v>3</v>
      </c>
      <c r="D38" s="14" t="n">
        <v>7.27</v>
      </c>
      <c r="E38" t="n">
        <v>4.5</v>
      </c>
      <c r="F38" t="inlineStr">
        <is>
          <t>Primary Component</t>
        </is>
      </c>
      <c r="G38" t="inlineStr">
        <is>
          <t>DISH-008 [1]</t>
        </is>
      </c>
      <c r="H38" t="inlineStr">
        <is>
          <t>Poultry</t>
        </is>
      </c>
    </row>
    <row r="39">
      <c r="A39" t="inlineStr">
        <is>
          <t>ING-062</t>
        </is>
      </c>
      <c r="B39" t="n">
        <v>178.3</v>
      </c>
      <c r="C39" t="n">
        <v>1</v>
      </c>
      <c r="D39" s="14" t="n">
        <v>12.87</v>
      </c>
      <c r="E39" t="n">
        <v>4</v>
      </c>
      <c r="F39" s="20" t="inlineStr">
        <is>
          <t>Core Component</t>
        </is>
      </c>
      <c r="G39" t="inlineStr">
        <is>
          <t>DISH-077 [1]</t>
        </is>
      </c>
      <c r="H39" t="inlineStr">
        <is>
          <t>Poultry</t>
        </is>
      </c>
    </row>
    <row r="40" ht="30" customHeight="1">
      <c r="A40" t="inlineStr">
        <is>
          <t>ING-108</t>
        </is>
      </c>
      <c r="B40" t="n">
        <v>4514.3</v>
      </c>
      <c r="C40" t="n">
        <v>18.5</v>
      </c>
      <c r="D40" s="14" t="n">
        <v>8.710000000000001</v>
      </c>
      <c r="E40" t="n">
        <v>3.5</v>
      </c>
      <c r="F40" s="20" t="inlineStr">
        <is>
          <t>Core Component</t>
        </is>
      </c>
      <c r="G40" s="2" t="inlineStr">
        <is>
          <t>DISH-018 [.6] | DISH-081 [.4]</t>
        </is>
      </c>
      <c r="H40" s="2" t="inlineStr">
        <is>
          <t>Poultry</t>
        </is>
      </c>
    </row>
    <row r="41">
      <c r="A41" t="inlineStr">
        <is>
          <t>ING-019</t>
        </is>
      </c>
      <c r="B41" t="n">
        <v>565.4</v>
      </c>
      <c r="C41" t="n">
        <v>5</v>
      </c>
      <c r="D41" s="14" t="n">
        <v>4.09</v>
      </c>
      <c r="E41" t="n">
        <v>4.5</v>
      </c>
      <c r="F41" s="20" t="inlineStr">
        <is>
          <t>Core Component</t>
        </is>
      </c>
      <c r="G41" t="inlineStr">
        <is>
          <t>DISH-099 [1]</t>
        </is>
      </c>
      <c r="H41" t="inlineStr">
        <is>
          <t>Poultry</t>
        </is>
      </c>
    </row>
    <row r="42">
      <c r="A42" t="inlineStr">
        <is>
          <t>ING-020</t>
        </is>
      </c>
      <c r="B42" t="n">
        <v>172.4</v>
      </c>
      <c r="C42" t="n">
        <v>1</v>
      </c>
      <c r="D42" s="14" t="n">
        <v>3.28</v>
      </c>
      <c r="E42" t="n">
        <v>5</v>
      </c>
      <c r="F42" s="20" t="inlineStr">
        <is>
          <t>Core Component</t>
        </is>
      </c>
      <c r="G42" t="inlineStr">
        <is>
          <t>DISH-029 [1]</t>
        </is>
      </c>
      <c r="H42" t="inlineStr">
        <is>
          <t>Sauces &amp; Condiments</t>
        </is>
      </c>
    </row>
    <row r="43">
      <c r="A43" t="inlineStr">
        <is>
          <t>ING-079</t>
        </is>
      </c>
      <c r="B43" t="n">
        <v>785.6</v>
      </c>
      <c r="C43" t="n">
        <v>30</v>
      </c>
      <c r="D43" s="14" t="n">
        <v>0.51</v>
      </c>
      <c r="E43" t="n">
        <v>2</v>
      </c>
      <c r="F43" s="20" t="inlineStr">
        <is>
          <t>Condiment/Spread</t>
        </is>
      </c>
      <c r="G43" t="inlineStr">
        <is>
          <t>DISH-083 [1]</t>
        </is>
      </c>
      <c r="H43" t="inlineStr">
        <is>
          <t>Herbs &amp; Garnishes</t>
        </is>
      </c>
    </row>
    <row r="44">
      <c r="A44" t="inlineStr">
        <is>
          <t>ING-082</t>
        </is>
      </c>
      <c r="B44" t="n">
        <v>23.2</v>
      </c>
      <c r="C44" t="n">
        <v>10</v>
      </c>
      <c r="D44" s="14" t="n">
        <v>0</v>
      </c>
      <c r="E44" t="n">
        <v>5</v>
      </c>
      <c r="F44" s="20" t="inlineStr">
        <is>
          <t>Nonessential</t>
        </is>
      </c>
      <c r="G44" t="inlineStr">
        <is>
          <t>DISH-002 [1]</t>
        </is>
      </c>
      <c r="H44" t="inlineStr">
        <is>
          <t>Herbs &amp; Garnishes</t>
        </is>
      </c>
    </row>
    <row r="45">
      <c r="A45" s="2" t="inlineStr">
        <is>
          <t>ING-080</t>
        </is>
      </c>
      <c r="B45" t="n">
        <v>298.2</v>
      </c>
      <c r="C45" t="n">
        <v>10</v>
      </c>
      <c r="D45" s="14" t="n">
        <v>0.28</v>
      </c>
      <c r="E45" t="n">
        <v>3</v>
      </c>
      <c r="F45" s="20" t="inlineStr">
        <is>
          <t>Condiment/Spread</t>
        </is>
      </c>
      <c r="G45" t="inlineStr">
        <is>
          <t>DISH-118 [1]</t>
        </is>
      </c>
      <c r="H45" t="inlineStr">
        <is>
          <t>Sauces &amp; Condiments</t>
        </is>
      </c>
    </row>
    <row r="46">
      <c r="A46" t="inlineStr">
        <is>
          <t>ING-128</t>
        </is>
      </c>
      <c r="B46" t="n">
        <v>48.3</v>
      </c>
      <c r="C46" t="n">
        <v>1</v>
      </c>
      <c r="D46" s="14" t="n">
        <v>0</v>
      </c>
      <c r="E46" t="n">
        <v>5</v>
      </c>
      <c r="F46" s="20" t="inlineStr">
        <is>
          <t>Nonessential</t>
        </is>
      </c>
      <c r="G46" t="inlineStr">
        <is>
          <t>DISH-082 [1]</t>
        </is>
      </c>
      <c r="H46" t="inlineStr">
        <is>
          <t>Vegetables</t>
        </is>
      </c>
    </row>
    <row r="47">
      <c r="A47" t="inlineStr">
        <is>
          <t>ING-014</t>
        </is>
      </c>
      <c r="B47" t="n">
        <v>183.8</v>
      </c>
      <c r="C47" t="n">
        <v>1</v>
      </c>
      <c r="D47" s="14" t="n">
        <v>3.95</v>
      </c>
      <c r="E47" t="n">
        <v>5</v>
      </c>
      <c r="F47" s="20" t="inlineStr">
        <is>
          <t>Core Component</t>
        </is>
      </c>
      <c r="G47" t="inlineStr">
        <is>
          <t>DISH-085 [1]</t>
        </is>
      </c>
      <c r="H47" t="inlineStr">
        <is>
          <t>Vegetables</t>
        </is>
      </c>
    </row>
    <row r="48">
      <c r="A48" s="2" t="inlineStr">
        <is>
          <t>ING-139</t>
        </is>
      </c>
      <c r="B48" t="n">
        <v>161.7</v>
      </c>
      <c r="C48" t="n">
        <v>1</v>
      </c>
      <c r="D48" s="14" t="n">
        <v>3.92</v>
      </c>
      <c r="E48" t="n">
        <v>5</v>
      </c>
      <c r="F48" s="20" t="inlineStr">
        <is>
          <t>Core Component</t>
        </is>
      </c>
      <c r="G48" t="inlineStr">
        <is>
          <t>DISH-085 [1]</t>
        </is>
      </c>
      <c r="H48" t="inlineStr">
        <is>
          <t>Sauces &amp; Condiments</t>
        </is>
      </c>
    </row>
    <row r="49">
      <c r="A49" t="inlineStr">
        <is>
          <t>ING-060</t>
        </is>
      </c>
      <c r="B49" t="n">
        <v>658.8</v>
      </c>
      <c r="C49" t="n">
        <v>2</v>
      </c>
      <c r="D49" s="14" t="n">
        <v>6.98</v>
      </c>
      <c r="E49" t="n">
        <v>5</v>
      </c>
      <c r="F49" s="20" t="inlineStr">
        <is>
          <t>Core Component</t>
        </is>
      </c>
      <c r="G49" t="inlineStr">
        <is>
          <t>DISH-017 [1]</t>
        </is>
      </c>
      <c r="H49" t="inlineStr">
        <is>
          <t>Starches</t>
        </is>
      </c>
    </row>
    <row r="50" ht="30" customHeight="1">
      <c r="A50" t="inlineStr">
        <is>
          <t>ING-075</t>
        </is>
      </c>
      <c r="B50" t="n">
        <v>589.3</v>
      </c>
      <c r="C50" t="n">
        <v>6</v>
      </c>
      <c r="D50" s="14" t="n">
        <v>4.67</v>
      </c>
      <c r="E50" t="n">
        <v>4.5</v>
      </c>
      <c r="F50" s="20" t="inlineStr">
        <is>
          <t>Core Component</t>
        </is>
      </c>
      <c r="G50" s="2" t="inlineStr">
        <is>
          <t>DISH-065 [.5] | DISH-014 [.5]</t>
        </is>
      </c>
      <c r="H50" s="2" t="inlineStr">
        <is>
          <t>Grains</t>
        </is>
      </c>
    </row>
    <row r="51">
      <c r="A51" t="inlineStr">
        <is>
          <t>ING-027</t>
        </is>
      </c>
      <c r="B51" t="n">
        <v>129.5</v>
      </c>
      <c r="C51" t="n">
        <v>5</v>
      </c>
      <c r="D51" s="14" t="n">
        <v>0.8100000000000001</v>
      </c>
      <c r="E51" t="n">
        <v>3</v>
      </c>
      <c r="F51" t="inlineStr">
        <is>
          <t>Condiment/Spread</t>
        </is>
      </c>
      <c r="G51" t="inlineStr">
        <is>
          <t>DISH-008 [1]</t>
        </is>
      </c>
      <c r="H51" t="inlineStr">
        <is>
          <t>Vegetables</t>
        </is>
      </c>
    </row>
    <row r="52" ht="45" customHeight="1">
      <c r="A52" t="inlineStr">
        <is>
          <t>ING-081</t>
        </is>
      </c>
      <c r="B52" t="n">
        <v>256.5</v>
      </c>
      <c r="C52" t="n">
        <v>1</v>
      </c>
      <c r="D52" s="14" t="n">
        <v>6.13</v>
      </c>
      <c r="E52" t="n">
        <v>4</v>
      </c>
      <c r="F52" s="20" t="inlineStr">
        <is>
          <t>Core Component</t>
        </is>
      </c>
      <c r="G52" s="2" t="inlineStr">
        <is>
          <t>DISH-100 [.33] | DISH-102 [.34] | DISH-127 [.33]</t>
        </is>
      </c>
      <c r="H52" s="2" t="inlineStr">
        <is>
          <t>Sauces &amp; Condiments</t>
        </is>
      </c>
    </row>
    <row r="53">
      <c r="A53" t="inlineStr">
        <is>
          <t>ING-156</t>
        </is>
      </c>
      <c r="B53" t="n">
        <v>205.5</v>
      </c>
      <c r="C53" t="n">
        <v>1</v>
      </c>
      <c r="D53" s="14" t="n">
        <v>6.24</v>
      </c>
      <c r="E53" t="n">
        <v>5</v>
      </c>
      <c r="F53" s="20" t="inlineStr">
        <is>
          <t>Core Component</t>
        </is>
      </c>
      <c r="G53" t="inlineStr">
        <is>
          <t>DISH-073 [1]</t>
        </is>
      </c>
      <c r="H53" t="inlineStr">
        <is>
          <t>Legumes</t>
        </is>
      </c>
    </row>
    <row r="54">
      <c r="A54" t="inlineStr">
        <is>
          <t>ING-100</t>
        </is>
      </c>
      <c r="B54" t="n">
        <v>437.9</v>
      </c>
      <c r="C54" t="n">
        <v>1</v>
      </c>
      <c r="D54" s="14" t="n">
        <v>4.43</v>
      </c>
      <c r="E54" t="n">
        <v>5</v>
      </c>
      <c r="F54" s="20" t="inlineStr">
        <is>
          <t>Core Component</t>
        </is>
      </c>
      <c r="G54" t="inlineStr">
        <is>
          <t>DISH-119 [1]</t>
        </is>
      </c>
      <c r="H54" t="inlineStr">
        <is>
          <t>Soup</t>
        </is>
      </c>
    </row>
    <row r="55">
      <c r="A55" t="inlineStr">
        <is>
          <t>ING-172</t>
        </is>
      </c>
      <c r="B55" t="n">
        <v>391.6</v>
      </c>
      <c r="C55" t="n">
        <v>1</v>
      </c>
      <c r="D55" s="14" t="n">
        <v>16.84</v>
      </c>
      <c r="E55" t="n">
        <v>4.5</v>
      </c>
      <c r="F55" s="20" t="inlineStr">
        <is>
          <t>Core Component</t>
        </is>
      </c>
      <c r="G55" t="inlineStr">
        <is>
          <t>DISH-033 [1]</t>
        </is>
      </c>
      <c r="H55" t="inlineStr">
        <is>
          <t>Sauces &amp; Condiments | Vegetables</t>
        </is>
      </c>
    </row>
    <row r="56" ht="30" customHeight="1">
      <c r="A56" t="inlineStr">
        <is>
          <t>ING-044</t>
        </is>
      </c>
      <c r="B56" t="n">
        <v>10165</v>
      </c>
      <c r="C56" t="n">
        <v>38</v>
      </c>
      <c r="D56" s="14" t="n">
        <v>5.39</v>
      </c>
      <c r="E56" t="n">
        <v>5</v>
      </c>
      <c r="F56" s="20" t="inlineStr">
        <is>
          <t>Core Component</t>
        </is>
      </c>
      <c r="G56" s="2" t="inlineStr">
        <is>
          <t>DISH-086 [.6] | DISH-072 [.2] | DISH-092 [.1] | DISH-074 [.1]</t>
        </is>
      </c>
      <c r="H56" s="2" t="inlineStr">
        <is>
          <t>Starches</t>
        </is>
      </c>
    </row>
    <row r="57" ht="30" customHeight="1">
      <c r="A57" t="inlineStr">
        <is>
          <t>ING-113</t>
        </is>
      </c>
      <c r="B57" t="n">
        <v>214.2</v>
      </c>
      <c r="C57" t="n">
        <v>1</v>
      </c>
      <c r="D57" s="14" t="n">
        <v>4.44</v>
      </c>
      <c r="E57" t="n">
        <v>5</v>
      </c>
      <c r="F57" s="20" t="inlineStr">
        <is>
          <t>Core Component</t>
        </is>
      </c>
      <c r="G57" s="2" t="inlineStr">
        <is>
          <t>DISH-086 [.6] | DISH-072 [.2] | DISH-092 [.1] | DISH-074 [.1]</t>
        </is>
      </c>
      <c r="H57" s="2" t="inlineStr">
        <is>
          <t>Starches</t>
        </is>
      </c>
    </row>
    <row r="58" ht="30" customHeight="1">
      <c r="A58" s="2" t="inlineStr">
        <is>
          <t>ING-091</t>
        </is>
      </c>
      <c r="B58" t="n">
        <v>522.1</v>
      </c>
      <c r="C58" t="n">
        <v>2</v>
      </c>
      <c r="D58" s="14" t="n">
        <v>11.58</v>
      </c>
      <c r="E58" t="n">
        <v>4.5</v>
      </c>
      <c r="F58" s="20" t="inlineStr">
        <is>
          <t>Modular Protein</t>
        </is>
      </c>
      <c r="G58" s="2" t="inlineStr">
        <is>
          <t>DISH-094 [.4] | DISH-060 [.6]</t>
        </is>
      </c>
      <c r="H58" s="2" t="inlineStr">
        <is>
          <t>Poultry</t>
        </is>
      </c>
    </row>
    <row r="59" ht="30" customHeight="1">
      <c r="A59" t="inlineStr">
        <is>
          <t>ING-006</t>
        </is>
      </c>
      <c r="B59" t="n">
        <v>254.1</v>
      </c>
      <c r="C59" t="n">
        <v>1</v>
      </c>
      <c r="D59" s="14" t="n">
        <v>8.449999999999999</v>
      </c>
      <c r="E59" t="n">
        <v>4</v>
      </c>
      <c r="F59" s="20" t="inlineStr">
        <is>
          <t>Modular Protein</t>
        </is>
      </c>
      <c r="G59" s="2" t="inlineStr">
        <is>
          <t>DISH-116 [.25] | DISH-084 [.75]</t>
        </is>
      </c>
      <c r="H59" s="2" t="inlineStr">
        <is>
          <t>Seafood</t>
        </is>
      </c>
    </row>
    <row r="60">
      <c r="A60" t="inlineStr">
        <is>
          <t>ING-039</t>
        </is>
      </c>
      <c r="B60" t="n">
        <v>482.1</v>
      </c>
      <c r="C60" t="n">
        <v>2</v>
      </c>
      <c r="D60" s="14" t="n">
        <v>10.04</v>
      </c>
      <c r="E60" t="n">
        <v>4.5</v>
      </c>
      <c r="F60" s="20" t="inlineStr">
        <is>
          <t>Modular Protein</t>
        </is>
      </c>
      <c r="G60" t="inlineStr">
        <is>
          <t>DISH-046 [1]</t>
        </is>
      </c>
      <c r="H60" t="inlineStr">
        <is>
          <t>Red Meat</t>
        </is>
      </c>
    </row>
    <row r="61" ht="45" customHeight="1">
      <c r="A61" t="inlineStr">
        <is>
          <t>ING-066</t>
        </is>
      </c>
      <c r="B61" t="n">
        <v>505.4</v>
      </c>
      <c r="C61" t="n">
        <v>3</v>
      </c>
      <c r="D61" s="14" t="n">
        <v>3.3</v>
      </c>
      <c r="E61" t="n">
        <v>4</v>
      </c>
      <c r="F61" s="20" t="inlineStr">
        <is>
          <t>Modular Protein</t>
        </is>
      </c>
      <c r="G61" s="2" t="inlineStr">
        <is>
          <t>DISH-100 [.4] | DISH-093 [.4] | DISH-121 [.1] | DISH-128 [.1]</t>
        </is>
      </c>
      <c r="H61" s="2" t="inlineStr">
        <is>
          <t>Plant Proteins</t>
        </is>
      </c>
    </row>
    <row r="62">
      <c r="A62" t="inlineStr">
        <is>
          <t>ING-160</t>
        </is>
      </c>
      <c r="B62" t="n">
        <v>650.9</v>
      </c>
      <c r="C62" t="n">
        <v>3</v>
      </c>
      <c r="D62" s="14" t="n">
        <v>7.4</v>
      </c>
      <c r="E62" t="n">
        <v>5</v>
      </c>
      <c r="F62" s="20" t="inlineStr">
        <is>
          <t>Core Component</t>
        </is>
      </c>
      <c r="G62" t="inlineStr">
        <is>
          <t>DISH-126 [1]</t>
        </is>
      </c>
      <c r="H62" t="inlineStr">
        <is>
          <t>Grains</t>
        </is>
      </c>
    </row>
    <row r="63" ht="30" customHeight="1">
      <c r="A63" t="inlineStr">
        <is>
          <t>ING-064</t>
        </is>
      </c>
      <c r="B63" t="n">
        <v>248.9</v>
      </c>
      <c r="C63" t="n">
        <v>8</v>
      </c>
      <c r="D63" s="14" t="n">
        <v>0</v>
      </c>
      <c r="E63" t="n">
        <v>5</v>
      </c>
      <c r="F63" s="20" t="inlineStr">
        <is>
          <t>Support Component</t>
        </is>
      </c>
      <c r="G63" s="2" t="inlineStr">
        <is>
          <t>DISH-055 [.5] | DISH-072 [.5]</t>
        </is>
      </c>
      <c r="H63" s="2" t="inlineStr">
        <is>
          <t>Herbs &amp; Garnishes</t>
        </is>
      </c>
    </row>
    <row r="64">
      <c r="A64" t="inlineStr">
        <is>
          <t>ING-124</t>
        </is>
      </c>
      <c r="B64" t="n">
        <v>307.2</v>
      </c>
      <c r="C64" t="n">
        <v>15</v>
      </c>
      <c r="D64" s="14" t="n">
        <v>0</v>
      </c>
      <c r="E64" t="n">
        <v>5</v>
      </c>
      <c r="F64" t="inlineStr">
        <is>
          <t>Condiment/Spread</t>
        </is>
      </c>
      <c r="G64" t="inlineStr">
        <is>
          <t>DISH-032 [1]</t>
        </is>
      </c>
      <c r="H64" t="inlineStr">
        <is>
          <t>Herbs &amp; Garnishes</t>
        </is>
      </c>
    </row>
    <row r="65">
      <c r="A65" t="inlineStr">
        <is>
          <t>ING-168</t>
        </is>
      </c>
      <c r="B65" t="n">
        <v>126.4</v>
      </c>
      <c r="C65" t="n">
        <v>1</v>
      </c>
      <c r="D65" s="14" t="n">
        <v>2.07</v>
      </c>
      <c r="E65" t="n">
        <v>4</v>
      </c>
      <c r="F65" s="20" t="inlineStr">
        <is>
          <t>Core Component</t>
        </is>
      </c>
      <c r="G65" t="inlineStr">
        <is>
          <t>DISH-006 [1]</t>
        </is>
      </c>
      <c r="H65" t="inlineStr">
        <is>
          <t>Sauces &amp; Condiments</t>
        </is>
      </c>
    </row>
    <row r="66">
      <c r="A66" t="inlineStr">
        <is>
          <t>ING-102</t>
        </is>
      </c>
      <c r="B66" t="n">
        <v>551.9</v>
      </c>
      <c r="C66" t="n">
        <v>4</v>
      </c>
      <c r="D66" s="14" t="n">
        <v>1.04</v>
      </c>
      <c r="E66" t="n">
        <v>5</v>
      </c>
      <c r="F66" s="20" t="inlineStr">
        <is>
          <t>Support Component</t>
        </is>
      </c>
      <c r="G66" t="inlineStr">
        <is>
          <t>DISH-090 [1]</t>
        </is>
      </c>
      <c r="H66" t="inlineStr">
        <is>
          <t>Grains</t>
        </is>
      </c>
    </row>
    <row r="67" ht="60" customHeight="1">
      <c r="A67" t="inlineStr">
        <is>
          <t>ING-035</t>
        </is>
      </c>
      <c r="B67" t="n">
        <v>288.3</v>
      </c>
      <c r="C67" t="n">
        <v>8</v>
      </c>
      <c r="D67" s="14" t="n">
        <v>0.89</v>
      </c>
      <c r="E67" t="n">
        <v>3</v>
      </c>
      <c r="F67" s="20" t="inlineStr">
        <is>
          <t>Support Component</t>
        </is>
      </c>
      <c r="G67" s="2" t="inlineStr">
        <is>
          <t>DISH-016 [.1] | DISH-026 [.25] | DISH-105 [.25] | DISH-062 [.30] | DISH-097 [.1]</t>
        </is>
      </c>
      <c r="H67" s="2" t="inlineStr">
        <is>
          <t>Vegetables</t>
        </is>
      </c>
    </row>
    <row r="68" ht="45" customHeight="1">
      <c r="A68" t="inlineStr">
        <is>
          <t>ING-033</t>
        </is>
      </c>
      <c r="B68" t="n">
        <v>364.3</v>
      </c>
      <c r="C68" t="n">
        <v>10</v>
      </c>
      <c r="D68" s="14" t="n">
        <v>0.53</v>
      </c>
      <c r="E68" t="n">
        <v>3</v>
      </c>
      <c r="F68" s="20" t="inlineStr">
        <is>
          <t>Support Component</t>
        </is>
      </c>
      <c r="G68" s="2" t="inlineStr">
        <is>
          <t>DISH-100 [.33] | DISH-102 [.34] | DISH-127 [.33]</t>
        </is>
      </c>
      <c r="H68" s="2" t="inlineStr">
        <is>
          <t>Vegetables</t>
        </is>
      </c>
    </row>
    <row r="69">
      <c r="A69" t="inlineStr">
        <is>
          <t>ING-152</t>
        </is>
      </c>
      <c r="B69" t="n">
        <v>365.9</v>
      </c>
      <c r="C69" t="n">
        <v>1</v>
      </c>
      <c r="D69" s="14" t="n">
        <v>8.359999999999999</v>
      </c>
      <c r="E69" t="n">
        <v>5</v>
      </c>
      <c r="F69" s="20" t="inlineStr">
        <is>
          <t>Core Component</t>
        </is>
      </c>
      <c r="G69" t="inlineStr">
        <is>
          <t>DISH-121 [.33] | DISH-120 [.34] | DISH-042 [.33]</t>
        </is>
      </c>
      <c r="H69" t="inlineStr">
        <is>
          <t>Sauces &amp; Condiments</t>
        </is>
      </c>
    </row>
    <row r="70">
      <c r="A70" t="inlineStr">
        <is>
          <t>ING-120</t>
        </is>
      </c>
      <c r="B70" t="n">
        <v>157.1</v>
      </c>
      <c r="C70" t="n">
        <v>1</v>
      </c>
      <c r="D70" s="14" t="n">
        <v>8.76</v>
      </c>
      <c r="E70" t="n">
        <v>4</v>
      </c>
      <c r="F70" s="20" t="inlineStr">
        <is>
          <t>Core Component</t>
        </is>
      </c>
      <c r="G70" t="inlineStr">
        <is>
          <t>DISH-051 [1]</t>
        </is>
      </c>
      <c r="H70" t="inlineStr">
        <is>
          <t>Poultry</t>
        </is>
      </c>
    </row>
    <row r="71">
      <c r="A71" t="inlineStr">
        <is>
          <t>ING-106</t>
        </is>
      </c>
      <c r="B71" t="n">
        <v>273.9</v>
      </c>
      <c r="C71" t="n">
        <v>1</v>
      </c>
      <c r="D71" s="14" t="n">
        <v>4.91</v>
      </c>
      <c r="E71" t="n">
        <v>5</v>
      </c>
      <c r="F71" s="20" t="inlineStr">
        <is>
          <t>Core Component</t>
        </is>
      </c>
      <c r="G71" t="inlineStr">
        <is>
          <t>DISH-078 [1]</t>
        </is>
      </c>
      <c r="H71" t="inlineStr">
        <is>
          <t>Soup</t>
        </is>
      </c>
    </row>
    <row r="72">
      <c r="A72" t="inlineStr">
        <is>
          <t>ING-007</t>
        </is>
      </c>
      <c r="B72" t="n">
        <v>356.5</v>
      </c>
      <c r="C72" t="n">
        <v>6</v>
      </c>
      <c r="D72" s="14" t="n">
        <v>3.18</v>
      </c>
      <c r="E72" t="n">
        <v>4.5</v>
      </c>
      <c r="F72" s="20" t="inlineStr">
        <is>
          <t>Core Component</t>
        </is>
      </c>
      <c r="G72" t="inlineStr">
        <is>
          <t>DISH-123 [1]</t>
        </is>
      </c>
      <c r="H72" t="inlineStr">
        <is>
          <t>Red Meat</t>
        </is>
      </c>
    </row>
    <row r="73">
      <c r="A73" t="inlineStr">
        <is>
          <t>ING-038</t>
        </is>
      </c>
      <c r="B73" t="n">
        <v>724.8</v>
      </c>
      <c r="C73" t="n">
        <v>4</v>
      </c>
      <c r="D73" s="14" t="n">
        <v>5.07</v>
      </c>
      <c r="E73" t="n">
        <v>4.5</v>
      </c>
      <c r="F73" s="20" t="inlineStr">
        <is>
          <t>Core Component</t>
        </is>
      </c>
      <c r="G73" t="inlineStr">
        <is>
          <t>DISH-097 [1]</t>
        </is>
      </c>
      <c r="H73" t="inlineStr">
        <is>
          <t>Vegetables</t>
        </is>
      </c>
    </row>
    <row r="74">
      <c r="A74" t="inlineStr">
        <is>
          <t>ING-157</t>
        </is>
      </c>
      <c r="B74" t="n">
        <v>284.1</v>
      </c>
      <c r="C74" t="n">
        <v>1</v>
      </c>
      <c r="D74" s="14" t="n">
        <v>2.97</v>
      </c>
      <c r="E74" t="n">
        <v>5</v>
      </c>
      <c r="F74" s="20" t="inlineStr">
        <is>
          <t>Core Component</t>
        </is>
      </c>
      <c r="G74" t="inlineStr">
        <is>
          <t>DISH-114 [.95] | DISH-031 [.05]</t>
        </is>
      </c>
      <c r="H74" t="inlineStr">
        <is>
          <t>Grains</t>
        </is>
      </c>
    </row>
    <row r="75" ht="30" customHeight="1">
      <c r="A75" t="inlineStr">
        <is>
          <t>ING-085</t>
        </is>
      </c>
      <c r="B75" t="n">
        <v>414.9</v>
      </c>
      <c r="C75" t="n">
        <v>1</v>
      </c>
      <c r="D75" s="14" t="n">
        <v>7.25</v>
      </c>
      <c r="E75" t="n">
        <v>5</v>
      </c>
      <c r="F75" s="20" t="inlineStr">
        <is>
          <t>Core Component</t>
        </is>
      </c>
      <c r="G75" s="2" t="inlineStr">
        <is>
          <t>DISH-003 [.34] | DISH-030 [.33] | DISH-015 [.33]</t>
        </is>
      </c>
      <c r="H75" s="2" t="inlineStr">
        <is>
          <t>Grains</t>
        </is>
      </c>
    </row>
    <row r="76">
      <c r="A76" t="inlineStr">
        <is>
          <t>ING-072</t>
        </is>
      </c>
      <c r="B76" t="n">
        <v>173.7</v>
      </c>
      <c r="C76" t="n">
        <v>1</v>
      </c>
      <c r="D76" s="14" t="n">
        <v>12.97</v>
      </c>
      <c r="E76" t="n">
        <v>4.5</v>
      </c>
      <c r="F76" s="20" t="inlineStr">
        <is>
          <t>Core Component</t>
        </is>
      </c>
      <c r="G76" t="inlineStr">
        <is>
          <t>DISH-047 [1]</t>
        </is>
      </c>
      <c r="H76" t="inlineStr">
        <is>
          <t>Red Meat</t>
        </is>
      </c>
    </row>
    <row r="77">
      <c r="A77" t="inlineStr">
        <is>
          <t>ING-049</t>
        </is>
      </c>
      <c r="B77" t="n">
        <v>75.40000000000001</v>
      </c>
      <c r="C77" t="n">
        <v>1</v>
      </c>
      <c r="D77" s="14" t="n">
        <v>3.09</v>
      </c>
      <c r="E77" t="n">
        <v>3</v>
      </c>
      <c r="F77" s="20" t="inlineStr">
        <is>
          <t>Support Component</t>
        </is>
      </c>
      <c r="G77" t="inlineStr">
        <is>
          <t>DISH-001 [1]</t>
        </is>
      </c>
      <c r="H77" t="inlineStr">
        <is>
          <t>Sauces &amp; Condiments</t>
        </is>
      </c>
    </row>
    <row r="78">
      <c r="A78" t="inlineStr">
        <is>
          <t>ING-024</t>
        </is>
      </c>
      <c r="B78" t="n">
        <v>94.3</v>
      </c>
      <c r="C78" t="n">
        <v>1</v>
      </c>
      <c r="D78" s="14" t="n">
        <v>9.59</v>
      </c>
      <c r="E78" t="n">
        <v>4.5</v>
      </c>
      <c r="F78" s="20" t="inlineStr">
        <is>
          <t>Core Component</t>
        </is>
      </c>
      <c r="G78" t="inlineStr">
        <is>
          <t>DISH-071 [1]</t>
        </is>
      </c>
      <c r="H78" t="inlineStr">
        <is>
          <t>Grains</t>
        </is>
      </c>
    </row>
    <row r="79" ht="30" customHeight="1">
      <c r="A79" t="inlineStr">
        <is>
          <t>ING-028</t>
        </is>
      </c>
      <c r="B79" t="n">
        <v>225.7</v>
      </c>
      <c r="C79" t="n">
        <v>1</v>
      </c>
      <c r="D79" s="14" t="n">
        <v>5.97</v>
      </c>
      <c r="E79" t="n">
        <v>5</v>
      </c>
      <c r="F79" s="20" t="inlineStr">
        <is>
          <t>Core Component</t>
        </is>
      </c>
      <c r="G79" s="2" t="inlineStr">
        <is>
          <t>DISH-098 [.7] | DISH-082 [.25] | DISH-012 [.05]</t>
        </is>
      </c>
      <c r="H79" s="2" t="inlineStr">
        <is>
          <t>Dairy | Grains</t>
        </is>
      </c>
    </row>
    <row r="80" ht="45" customHeight="1">
      <c r="A80" t="inlineStr">
        <is>
          <t>ING-041</t>
        </is>
      </c>
      <c r="B80" t="n">
        <v>271.1</v>
      </c>
      <c r="C80" t="n">
        <v>1</v>
      </c>
      <c r="D80" s="14" t="n">
        <v>2.4</v>
      </c>
      <c r="E80" t="n">
        <v>5</v>
      </c>
      <c r="F80" s="20" t="inlineStr">
        <is>
          <t>Core Component</t>
        </is>
      </c>
      <c r="G80" s="2" t="inlineStr">
        <is>
          <t>DISH-033 [.05] | DISH-115 [.35] | DISH-032 [.6]</t>
        </is>
      </c>
      <c r="H80" s="2" t="inlineStr">
        <is>
          <t>Sauces &amp; Condiments</t>
        </is>
      </c>
    </row>
    <row r="81" ht="45" customHeight="1">
      <c r="A81" t="inlineStr">
        <is>
          <t>ING-068</t>
        </is>
      </c>
      <c r="B81" t="n">
        <v>283.2</v>
      </c>
      <c r="C81" t="n">
        <v>1</v>
      </c>
      <c r="D81" s="14" t="n">
        <v>7.97</v>
      </c>
      <c r="E81" t="n">
        <v>5</v>
      </c>
      <c r="F81" s="20" t="inlineStr">
        <is>
          <t>Core Component</t>
        </is>
      </c>
      <c r="G81" s="2" t="inlineStr">
        <is>
          <t>DISH-109 [.5] | DISH-095 [.5]</t>
        </is>
      </c>
      <c r="H81" s="2" t="inlineStr">
        <is>
          <t>Starches</t>
        </is>
      </c>
    </row>
    <row r="82">
      <c r="A82" s="2" t="inlineStr">
        <is>
          <t>ING-174</t>
        </is>
      </c>
      <c r="B82" t="n">
        <v>336.6</v>
      </c>
      <c r="C82" t="n">
        <v>1</v>
      </c>
      <c r="D82" s="14" t="n">
        <v>11.3</v>
      </c>
      <c r="E82" t="n">
        <v>4.5</v>
      </c>
      <c r="F82" s="20" t="inlineStr">
        <is>
          <t>Core Component</t>
        </is>
      </c>
      <c r="G82" t="inlineStr">
        <is>
          <t>DISH-111 [1]</t>
        </is>
      </c>
      <c r="H82" t="inlineStr">
        <is>
          <t>Red Meat</t>
        </is>
      </c>
    </row>
    <row r="83">
      <c r="A83" t="inlineStr">
        <is>
          <t>ING-018</t>
        </is>
      </c>
      <c r="B83" t="n">
        <v>106.6</v>
      </c>
      <c r="C83" t="n">
        <v>30</v>
      </c>
      <c r="D83" s="14" t="n">
        <v>0.22</v>
      </c>
      <c r="E83" t="n">
        <v>2</v>
      </c>
      <c r="F83" s="20" t="inlineStr">
        <is>
          <t>Nonessential</t>
        </is>
      </c>
      <c r="G83" t="inlineStr">
        <is>
          <t>DISH-016 [1]</t>
        </is>
      </c>
      <c r="H83" t="inlineStr">
        <is>
          <t>Herbs &amp; Garnishes</t>
        </is>
      </c>
    </row>
    <row r="84">
      <c r="A84" t="inlineStr">
        <is>
          <t>ING-121</t>
        </is>
      </c>
      <c r="B84" t="n">
        <v>1224.9</v>
      </c>
      <c r="C84" t="n">
        <v>10</v>
      </c>
      <c r="D84" s="14" t="n">
        <v>2.2</v>
      </c>
      <c r="E84" t="n">
        <v>4</v>
      </c>
      <c r="F84" s="20" t="inlineStr">
        <is>
          <t>Core Component</t>
        </is>
      </c>
      <c r="G84" t="inlineStr">
        <is>
          <t>DISH-115 [1]</t>
        </is>
      </c>
      <c r="H84" t="inlineStr">
        <is>
          <t>Dairy</t>
        </is>
      </c>
    </row>
    <row r="85" ht="30" customHeight="1">
      <c r="A85" t="inlineStr">
        <is>
          <t>ING-029</t>
        </is>
      </c>
      <c r="B85" t="n">
        <v>193.9</v>
      </c>
      <c r="C85" t="n">
        <v>1</v>
      </c>
      <c r="D85" s="14" t="n">
        <v>7.48</v>
      </c>
      <c r="E85" t="n">
        <v>5</v>
      </c>
      <c r="F85" s="20" t="inlineStr">
        <is>
          <t>Core Component</t>
        </is>
      </c>
      <c r="G85" s="2" t="inlineStr">
        <is>
          <t>DISH-075 [.4] | DISH-055 [.6]</t>
        </is>
      </c>
      <c r="H85" s="2" t="inlineStr">
        <is>
          <t>Dairy</t>
        </is>
      </c>
    </row>
    <row r="86">
      <c r="A86" t="inlineStr">
        <is>
          <t>ING-087</t>
        </is>
      </c>
      <c r="B86" t="n">
        <v>339</v>
      </c>
      <c r="C86" t="n">
        <v>4</v>
      </c>
      <c r="D86" s="14" t="n">
        <v>1.02</v>
      </c>
      <c r="E86" t="n">
        <v>4.5</v>
      </c>
      <c r="F86" s="20" t="inlineStr">
        <is>
          <t>Core Component</t>
        </is>
      </c>
      <c r="G86" s="4" t="inlineStr">
        <is>
          <t>DISH-076 [1]</t>
        </is>
      </c>
      <c r="H86" s="4" t="inlineStr">
        <is>
          <t>Vegetables</t>
        </is>
      </c>
    </row>
    <row r="87" ht="45" customHeight="1">
      <c r="A87" t="inlineStr">
        <is>
          <t>ING-162</t>
        </is>
      </c>
      <c r="B87" t="n">
        <v>93.09999999999999</v>
      </c>
      <c r="C87" t="n">
        <v>1</v>
      </c>
      <c r="D87" s="14" t="n">
        <v>4.53</v>
      </c>
      <c r="E87" t="n">
        <v>5</v>
      </c>
      <c r="F87" s="20" t="inlineStr">
        <is>
          <t>Core Component</t>
        </is>
      </c>
      <c r="G87" s="2" t="inlineStr">
        <is>
          <t>DISH-009 [.4] | DISH-076 [.6]</t>
        </is>
      </c>
      <c r="H87" s="2" t="inlineStr">
        <is>
          <t>Sauces &amp; Condiments</t>
        </is>
      </c>
    </row>
    <row r="88" ht="30" customHeight="1">
      <c r="A88" t="inlineStr">
        <is>
          <t>ING-167</t>
        </is>
      </c>
      <c r="B88" t="n">
        <v>270.7</v>
      </c>
      <c r="C88" t="n">
        <v>15</v>
      </c>
      <c r="D88" s="14" t="n">
        <v>0.67</v>
      </c>
      <c r="E88" t="n">
        <v>2.5</v>
      </c>
      <c r="F88" s="20" t="inlineStr">
        <is>
          <t>Variant Driver</t>
        </is>
      </c>
      <c r="G88" s="2" t="inlineStr">
        <is>
          <t>DISH-065 [1]</t>
        </is>
      </c>
      <c r="H88" s="2" t="inlineStr">
        <is>
          <t>Sauces &amp; Condiments</t>
        </is>
      </c>
    </row>
    <row r="89">
      <c r="A89" t="inlineStr">
        <is>
          <t>ING-017</t>
        </is>
      </c>
      <c r="B89" t="n">
        <v>265.4</v>
      </c>
      <c r="C89" t="n">
        <v>20</v>
      </c>
      <c r="D89" s="14" t="n">
        <v>0.38</v>
      </c>
      <c r="E89" t="n">
        <v>2</v>
      </c>
      <c r="F89" s="20" t="inlineStr">
        <is>
          <t>Support Component</t>
        </is>
      </c>
      <c r="G89" t="inlineStr">
        <is>
          <t>DISH-050 [1]</t>
        </is>
      </c>
      <c r="H89" t="inlineStr">
        <is>
          <t>Sauces &amp; Condiments</t>
        </is>
      </c>
    </row>
    <row r="90">
      <c r="A90" t="inlineStr">
        <is>
          <t>ING-036</t>
        </is>
      </c>
      <c r="B90" t="n">
        <v>147.4</v>
      </c>
      <c r="C90" t="n">
        <v>1</v>
      </c>
      <c r="D90" s="14" t="n">
        <v>14.01</v>
      </c>
      <c r="E90" t="n">
        <v>4</v>
      </c>
      <c r="F90" s="20" t="inlineStr">
        <is>
          <t>Core Component</t>
        </is>
      </c>
      <c r="G90" t="inlineStr">
        <is>
          <t>DISH-113 [1]</t>
        </is>
      </c>
      <c r="H90" t="inlineStr">
        <is>
          <t>Seafood</t>
        </is>
      </c>
    </row>
    <row r="91" ht="45" customHeight="1">
      <c r="A91" t="inlineStr">
        <is>
          <t>ING-141</t>
        </is>
      </c>
      <c r="B91" t="n">
        <v>236.5</v>
      </c>
      <c r="C91" t="n">
        <v>2</v>
      </c>
      <c r="D91" s="22" t="n">
        <v>4.21</v>
      </c>
      <c r="E91" t="n">
        <v>4</v>
      </c>
      <c r="F91" s="20" t="inlineStr">
        <is>
          <t>Core Component</t>
        </is>
      </c>
      <c r="G91" s="2" t="inlineStr">
        <is>
          <t>DISH-004 [.75] | DISH-067 [.25]</t>
        </is>
      </c>
      <c r="H91" s="2" t="inlineStr">
        <is>
          <t>Starches</t>
        </is>
      </c>
    </row>
    <row r="92" ht="30" customHeight="1">
      <c r="A92" t="inlineStr">
        <is>
          <t>ING-143</t>
        </is>
      </c>
      <c r="B92" t="n">
        <v>175</v>
      </c>
      <c r="C92" t="n">
        <v>1</v>
      </c>
      <c r="D92" s="14" t="n">
        <v>2.15</v>
      </c>
      <c r="E92" t="n">
        <v>4</v>
      </c>
      <c r="F92" s="20" t="inlineStr">
        <is>
          <t>Core Component</t>
        </is>
      </c>
      <c r="G92" s="2" t="inlineStr">
        <is>
          <t>DISH-093 [.33] | DISH-056 [.34] | DISH-037 [.33]</t>
        </is>
      </c>
      <c r="H92" s="2" t="inlineStr">
        <is>
          <t>Prepared Components</t>
        </is>
      </c>
    </row>
    <row r="93" ht="30" customHeight="1">
      <c r="A93" t="inlineStr">
        <is>
          <t>ING-122</t>
        </is>
      </c>
      <c r="B93" t="n">
        <v>267.5</v>
      </c>
      <c r="C93" t="n">
        <v>1</v>
      </c>
      <c r="D93" s="14" t="n">
        <v>5.75</v>
      </c>
      <c r="E93" t="n">
        <v>4</v>
      </c>
      <c r="F93" s="20" t="inlineStr">
        <is>
          <t>Core Component</t>
        </is>
      </c>
      <c r="G93" s="2" t="inlineStr">
        <is>
          <t>DISH-093 [.33] | DISH-056 [.34] | DISH-037 [.33]</t>
        </is>
      </c>
      <c r="H93" s="2" t="inlineStr">
        <is>
          <t>Sauces &amp; Condiments</t>
        </is>
      </c>
    </row>
    <row r="94">
      <c r="A94" t="inlineStr">
        <is>
          <t>ING-076</t>
        </is>
      </c>
      <c r="B94" t="n">
        <v>330.7</v>
      </c>
      <c r="C94" t="n">
        <v>1</v>
      </c>
      <c r="D94" s="14" t="n">
        <v>7.96</v>
      </c>
      <c r="E94" t="n">
        <v>5</v>
      </c>
      <c r="F94" s="20" t="inlineStr">
        <is>
          <t>Core Component</t>
        </is>
      </c>
      <c r="G94" t="inlineStr">
        <is>
          <t>DISH-128 [.33] | DISH-101 [.34] | DISH-010 [.33]</t>
        </is>
      </c>
      <c r="H94" t="inlineStr">
        <is>
          <t>Sauces &amp; Condiments</t>
        </is>
      </c>
    </row>
    <row r="95">
      <c r="A95" t="inlineStr">
        <is>
          <t>ING-182</t>
        </is>
      </c>
      <c r="B95" t="n">
        <v>180.5</v>
      </c>
      <c r="C95" t="n">
        <v>1</v>
      </c>
      <c r="D95" s="14" t="n">
        <v>4.18</v>
      </c>
      <c r="E95" t="n">
        <v>2</v>
      </c>
      <c r="F95" s="20" t="inlineStr">
        <is>
          <t>Core Component</t>
        </is>
      </c>
      <c r="G95" t="inlineStr">
        <is>
          <t>DISH-016 [1]</t>
        </is>
      </c>
      <c r="H95" t="inlineStr">
        <is>
          <t>Fruits</t>
        </is>
      </c>
    </row>
    <row r="96" ht="45" customHeight="1">
      <c r="A96" t="inlineStr">
        <is>
          <t>ING-173</t>
        </is>
      </c>
      <c r="B96" t="n">
        <v>5.1</v>
      </c>
      <c r="C96" t="n">
        <v>1</v>
      </c>
      <c r="D96" s="14" t="n">
        <v>0.57</v>
      </c>
      <c r="E96" t="n">
        <v>3</v>
      </c>
      <c r="F96" t="inlineStr">
        <is>
          <t>Condiment/Spread</t>
        </is>
      </c>
      <c r="G96" s="2" t="inlineStr">
        <is>
          <t>DISH-115 [.2] | DISH-059 [.25] | DISH-032 [.4] | DISH-122 [.15]</t>
        </is>
      </c>
      <c r="H96" s="2" t="inlineStr">
        <is>
          <t>Dairy</t>
        </is>
      </c>
    </row>
    <row r="97">
      <c r="A97" t="inlineStr">
        <is>
          <t>ING-015</t>
        </is>
      </c>
      <c r="B97" t="n">
        <v>747.8</v>
      </c>
      <c r="C97" t="n">
        <v>3</v>
      </c>
      <c r="D97" s="14" t="n">
        <v>15.12</v>
      </c>
      <c r="E97" t="n">
        <v>4</v>
      </c>
      <c r="F97" s="20" t="inlineStr">
        <is>
          <t>Core Component</t>
        </is>
      </c>
      <c r="G97" t="inlineStr">
        <is>
          <t>DISH-021 [1]</t>
        </is>
      </c>
      <c r="H97" t="inlineStr">
        <is>
          <t>Red Meat</t>
        </is>
      </c>
    </row>
    <row r="98">
      <c r="A98" t="inlineStr">
        <is>
          <t>ING-118</t>
        </is>
      </c>
      <c r="B98" t="n">
        <v>932.4</v>
      </c>
      <c r="C98" t="n">
        <v>10</v>
      </c>
      <c r="D98" s="14" t="n">
        <v>2.16</v>
      </c>
      <c r="E98" t="n">
        <v>5</v>
      </c>
      <c r="F98" s="20" t="inlineStr">
        <is>
          <t>Condiment/Spread</t>
        </is>
      </c>
      <c r="G98" t="inlineStr">
        <is>
          <t>DISH-008 [1]</t>
        </is>
      </c>
      <c r="H98" t="inlineStr">
        <is>
          <t>Sauces &amp; Condiments</t>
        </is>
      </c>
    </row>
    <row r="99">
      <c r="A99" t="inlineStr">
        <is>
          <t>ING-056</t>
        </is>
      </c>
      <c r="B99" t="n">
        <v>76.09999999999999</v>
      </c>
      <c r="C99" t="n">
        <v>1</v>
      </c>
      <c r="D99" s="14" t="n">
        <v>0.5</v>
      </c>
      <c r="E99" t="n">
        <v>4</v>
      </c>
      <c r="F99" s="20" t="inlineStr">
        <is>
          <t>Support Component</t>
        </is>
      </c>
      <c r="G99" t="inlineStr">
        <is>
          <t>DISH-038 [1]</t>
        </is>
      </c>
      <c r="H99" t="inlineStr">
        <is>
          <t>Vegetables</t>
        </is>
      </c>
    </row>
    <row r="100">
      <c r="A100" t="inlineStr">
        <is>
          <t>ING-104</t>
        </is>
      </c>
      <c r="B100" t="n">
        <v>100.6</v>
      </c>
      <c r="C100" t="n">
        <v>1</v>
      </c>
      <c r="D100" s="14" t="n">
        <v>2.2</v>
      </c>
      <c r="E100" t="n">
        <v>4.5</v>
      </c>
      <c r="F100" s="20" t="inlineStr">
        <is>
          <t>Support Component</t>
        </is>
      </c>
      <c r="G100" t="inlineStr">
        <is>
          <t>DISH-070 [1]</t>
        </is>
      </c>
      <c r="H100" t="inlineStr">
        <is>
          <t>Vegetables</t>
        </is>
      </c>
    </row>
    <row r="101" ht="45" customHeight="1">
      <c r="A101" t="inlineStr">
        <is>
          <t>ING-090</t>
        </is>
      </c>
      <c r="B101" t="n">
        <v>461.1</v>
      </c>
      <c r="C101" t="n">
        <v>1</v>
      </c>
      <c r="D101" s="14" t="n">
        <v>10.06</v>
      </c>
      <c r="E101" t="n">
        <v>4</v>
      </c>
      <c r="F101" s="20" t="inlineStr">
        <is>
          <t>Core Component</t>
        </is>
      </c>
      <c r="G101" s="2" t="inlineStr">
        <is>
          <t>DISH-026 [.33] | DISH-105 [.33] | DISH-062 [.34]</t>
        </is>
      </c>
      <c r="H101" s="2" t="inlineStr">
        <is>
          <t>Grains | Fruits</t>
        </is>
      </c>
    </row>
    <row r="102">
      <c r="A102" t="inlineStr">
        <is>
          <t>ING-097</t>
        </is>
      </c>
      <c r="B102" t="n">
        <v>109.7</v>
      </c>
      <c r="C102" t="n">
        <v>1</v>
      </c>
      <c r="D102" s="14" t="n">
        <v>1.15</v>
      </c>
      <c r="E102" t="n">
        <v>5</v>
      </c>
      <c r="F102" s="20" t="inlineStr">
        <is>
          <t>Support Component</t>
        </is>
      </c>
      <c r="G102" t="inlineStr">
        <is>
          <t>DISH-075 [1]</t>
        </is>
      </c>
      <c r="H102" t="inlineStr">
        <is>
          <t>Sauces &amp; Condiments</t>
        </is>
      </c>
    </row>
    <row r="103">
      <c r="A103" t="inlineStr">
        <is>
          <t>ING-148</t>
        </is>
      </c>
      <c r="B103" t="n">
        <v>270.3</v>
      </c>
      <c r="C103" t="n">
        <v>1</v>
      </c>
      <c r="D103" s="14" t="n">
        <v>5.45</v>
      </c>
      <c r="E103" t="n">
        <v>4</v>
      </c>
      <c r="F103" s="20" t="inlineStr">
        <is>
          <t>Core Component</t>
        </is>
      </c>
      <c r="G103" t="inlineStr">
        <is>
          <t>DISH-049 [1]</t>
        </is>
      </c>
      <c r="H103" t="inlineStr">
        <is>
          <t>Dairy</t>
        </is>
      </c>
    </row>
    <row r="104" ht="30" customHeight="1">
      <c r="A104" s="2" t="inlineStr">
        <is>
          <t>ING-158</t>
        </is>
      </c>
      <c r="B104" t="n">
        <v>1764.6</v>
      </c>
      <c r="C104" t="n">
        <v>5</v>
      </c>
      <c r="D104" s="14" t="n">
        <v>9.449999999999999</v>
      </c>
      <c r="E104" t="n">
        <v>5</v>
      </c>
      <c r="F104" s="20" t="inlineStr">
        <is>
          <t>Core Component</t>
        </is>
      </c>
      <c r="G104" t="inlineStr">
        <is>
          <t>DISH-080 [1]</t>
        </is>
      </c>
      <c r="H104" t="inlineStr">
        <is>
          <t>Red Meat | Seafood</t>
        </is>
      </c>
    </row>
    <row r="105" ht="30" customHeight="1">
      <c r="A105" t="inlineStr">
        <is>
          <t>ING-046</t>
        </is>
      </c>
      <c r="B105" t="n">
        <v>386.6</v>
      </c>
      <c r="C105" t="n">
        <v>1</v>
      </c>
      <c r="D105" s="14" t="n">
        <v>26.47</v>
      </c>
      <c r="E105" t="n">
        <v>5</v>
      </c>
      <c r="F105" s="20" t="inlineStr">
        <is>
          <t>Core Component</t>
        </is>
      </c>
      <c r="G105" s="2" t="inlineStr">
        <is>
          <t>DISH-039 [.5] | DISH-053 [.25] | DISH-070 [.25]</t>
        </is>
      </c>
      <c r="H105" s="2" t="inlineStr">
        <is>
          <t>Red Meat</t>
        </is>
      </c>
    </row>
    <row r="106" ht="30" customHeight="1">
      <c r="A106" s="2" t="inlineStr">
        <is>
          <t>ING-088</t>
        </is>
      </c>
      <c r="B106" t="n">
        <v>249.3</v>
      </c>
      <c r="C106" t="n">
        <v>1</v>
      </c>
      <c r="D106" s="14" t="n">
        <v>2.08</v>
      </c>
      <c r="E106" t="n">
        <v>5</v>
      </c>
      <c r="F106" s="20" t="inlineStr">
        <is>
          <t>Variant Driver</t>
        </is>
      </c>
      <c r="G106" t="inlineStr">
        <is>
          <t>DISH-053 [1]</t>
        </is>
      </c>
      <c r="H106" t="inlineStr">
        <is>
          <t>Vegetables |Fruits</t>
        </is>
      </c>
    </row>
    <row r="107">
      <c r="A107" t="inlineStr">
        <is>
          <t>ING-031</t>
        </is>
      </c>
      <c r="B107" t="n">
        <v>476.1</v>
      </c>
      <c r="C107" t="n">
        <v>5</v>
      </c>
      <c r="D107" s="14" t="n">
        <v>3.75</v>
      </c>
      <c r="E107" t="n">
        <v>4.5</v>
      </c>
      <c r="F107" s="20" t="inlineStr">
        <is>
          <t>Core Component</t>
        </is>
      </c>
      <c r="G107" t="inlineStr">
        <is>
          <t>DISH-041 [1]</t>
        </is>
      </c>
      <c r="H107" t="inlineStr">
        <is>
          <t>Red Meat</t>
        </is>
      </c>
    </row>
    <row r="108">
      <c r="A108" s="2" t="inlineStr">
        <is>
          <t>ING-159</t>
        </is>
      </c>
      <c r="B108" t="n">
        <v>452.4</v>
      </c>
      <c r="C108" t="n">
        <v>1</v>
      </c>
      <c r="D108" s="14" t="n">
        <v>17.55</v>
      </c>
      <c r="E108" t="n">
        <v>4.5</v>
      </c>
      <c r="F108" s="20" t="inlineStr">
        <is>
          <t>Core Component</t>
        </is>
      </c>
      <c r="G108" t="inlineStr">
        <is>
          <t>DISH-107 [1]</t>
        </is>
      </c>
      <c r="H108" t="inlineStr">
        <is>
          <t>Red Meat</t>
        </is>
      </c>
    </row>
    <row r="109" ht="30" customHeight="1">
      <c r="A109" t="inlineStr">
        <is>
          <t>ING-150</t>
        </is>
      </c>
      <c r="B109" t="n">
        <v>138.8</v>
      </c>
      <c r="C109" t="n">
        <v>1</v>
      </c>
      <c r="D109" s="14" t="n">
        <v>8.609999999999999</v>
      </c>
      <c r="E109" t="n">
        <v>3.5</v>
      </c>
      <c r="F109" s="20" t="inlineStr">
        <is>
          <t>Core Component</t>
        </is>
      </c>
      <c r="G109" s="2" t="inlineStr">
        <is>
          <t>DISH-089 [.5] | DISH-020 [.5]</t>
        </is>
      </c>
      <c r="H109" s="2" t="inlineStr">
        <is>
          <t>Red Meat</t>
        </is>
      </c>
    </row>
    <row r="110">
      <c r="A110" t="inlineStr">
        <is>
          <t>ING-185</t>
        </is>
      </c>
      <c r="B110" t="n">
        <v>1070.1</v>
      </c>
      <c r="C110" t="n">
        <v>8</v>
      </c>
      <c r="D110" s="14" t="n">
        <v>3.94</v>
      </c>
      <c r="E110" t="n">
        <v>2.5</v>
      </c>
      <c r="F110" s="20" t="inlineStr">
        <is>
          <t>Base/Carrier</t>
        </is>
      </c>
      <c r="G110" t="inlineStr">
        <is>
          <t>DISH-069 [1]</t>
        </is>
      </c>
      <c r="H110" t="inlineStr">
        <is>
          <t>Grains</t>
        </is>
      </c>
    </row>
    <row r="111">
      <c r="A111" t="inlineStr">
        <is>
          <t>ING-134</t>
        </is>
      </c>
      <c r="B111" t="n">
        <v>70.90000000000001</v>
      </c>
      <c r="C111" t="n">
        <v>1</v>
      </c>
      <c r="D111" s="14" t="n">
        <v>1.08</v>
      </c>
      <c r="E111" t="n">
        <v>4.5</v>
      </c>
      <c r="F111" s="20" t="inlineStr">
        <is>
          <t>Support Component</t>
        </is>
      </c>
      <c r="G111" t="inlineStr">
        <is>
          <t>DISH-053 [1]</t>
        </is>
      </c>
      <c r="H111" t="inlineStr">
        <is>
          <t>Sauces &amp; Condiments</t>
        </is>
      </c>
    </row>
    <row r="112" ht="30" customHeight="1">
      <c r="A112" t="inlineStr">
        <is>
          <t>ING-132</t>
        </is>
      </c>
      <c r="B112" t="n">
        <v>202.2</v>
      </c>
      <c r="C112" t="n">
        <v>1</v>
      </c>
      <c r="D112" s="14" t="n">
        <v>4.71</v>
      </c>
      <c r="E112" t="n">
        <v>4</v>
      </c>
      <c r="F112" s="20" t="inlineStr">
        <is>
          <t>Core Component</t>
        </is>
      </c>
      <c r="G112" s="2" t="inlineStr">
        <is>
          <t>DISH-093 [.33] | DISH-056 [.34] | DISH-037 [.33]</t>
        </is>
      </c>
      <c r="H112" s="2" t="inlineStr">
        <is>
          <t>Grains</t>
        </is>
      </c>
    </row>
    <row r="113">
      <c r="A113" t="inlineStr">
        <is>
          <t>ING-178</t>
        </is>
      </c>
      <c r="B113" t="n">
        <v>873.7</v>
      </c>
      <c r="C113" t="n">
        <v>10</v>
      </c>
      <c r="D113" s="14" t="n">
        <v>3.57</v>
      </c>
      <c r="E113" t="n">
        <v>5</v>
      </c>
      <c r="F113" s="20" t="inlineStr">
        <is>
          <t>Core Component</t>
        </is>
      </c>
      <c r="G113" t="inlineStr">
        <is>
          <t>DISH-043 [1]</t>
        </is>
      </c>
      <c r="H113" t="inlineStr">
        <is>
          <t>Vegetables</t>
        </is>
      </c>
    </row>
    <row r="114">
      <c r="A114" t="inlineStr">
        <is>
          <t>ING-002</t>
        </is>
      </c>
      <c r="B114" t="n">
        <v>474.3</v>
      </c>
      <c r="C114" t="n">
        <v>4</v>
      </c>
      <c r="D114" s="14" t="n">
        <v>3.73</v>
      </c>
      <c r="E114" t="n">
        <v>4.5</v>
      </c>
      <c r="F114" s="20" t="inlineStr">
        <is>
          <t>Modular Protein</t>
        </is>
      </c>
      <c r="G114" t="inlineStr">
        <is>
          <t>DISH-071 [.4] | DISH-003 [.6]</t>
        </is>
      </c>
      <c r="H114" t="inlineStr">
        <is>
          <t>Red Meat</t>
        </is>
      </c>
    </row>
    <row r="115" ht="30" customHeight="1">
      <c r="A115" t="inlineStr">
        <is>
          <t>ING-061</t>
        </is>
      </c>
      <c r="B115" t="n">
        <v>456.5</v>
      </c>
      <c r="C115" t="n">
        <v>1</v>
      </c>
      <c r="D115" s="14" t="n">
        <v>16.03</v>
      </c>
      <c r="E115" t="n">
        <v>4.5</v>
      </c>
      <c r="F115" s="20" t="inlineStr">
        <is>
          <t>Core Component</t>
        </is>
      </c>
      <c r="G115" s="2" t="inlineStr">
        <is>
          <t>DISH-057 [.2] | DISH-045 [.8]</t>
        </is>
      </c>
      <c r="H115" s="2" t="inlineStr">
        <is>
          <t>Poultry</t>
        </is>
      </c>
    </row>
    <row r="116" ht="30" customHeight="1">
      <c r="A116" s="2" t="inlineStr">
        <is>
          <t>ING-144</t>
        </is>
      </c>
      <c r="B116" t="n">
        <v>74.2</v>
      </c>
      <c r="C116" t="n">
        <v>1</v>
      </c>
      <c r="D116" s="14" t="n">
        <v>1.71</v>
      </c>
      <c r="E116" t="n">
        <v>4.5</v>
      </c>
      <c r="F116" s="20" t="inlineStr">
        <is>
          <t>Support Component</t>
        </is>
      </c>
      <c r="G116" s="2" t="inlineStr">
        <is>
          <t>DISH-012 [.2] | DISH-095 [.8]</t>
        </is>
      </c>
      <c r="H116" s="2" t="inlineStr">
        <is>
          <t>Herbs &amp; Garnishes</t>
        </is>
      </c>
    </row>
    <row r="117" ht="45" customHeight="1">
      <c r="A117" t="inlineStr">
        <is>
          <t>ING-115</t>
        </is>
      </c>
      <c r="B117" t="n">
        <v>641.9</v>
      </c>
      <c r="C117" t="n">
        <v>5</v>
      </c>
      <c r="D117" s="14" t="n">
        <v>4.93</v>
      </c>
      <c r="E117" t="n">
        <v>4</v>
      </c>
      <c r="F117" s="20" t="inlineStr">
        <is>
          <t>Modular Protein</t>
        </is>
      </c>
      <c r="G117" s="2" t="inlineStr">
        <is>
          <t>DISH-009 [.2] | DISH-127 [.4] | DISH-037 [.4]</t>
        </is>
      </c>
      <c r="H117" s="2" t="inlineStr">
        <is>
          <t>Seafood</t>
        </is>
      </c>
    </row>
    <row r="118" ht="30" customHeight="1">
      <c r="A118" t="inlineStr">
        <is>
          <t>ING-126</t>
        </is>
      </c>
      <c r="B118" t="n">
        <v>204.3</v>
      </c>
      <c r="C118" t="n">
        <v>1</v>
      </c>
      <c r="D118" s="14" t="n">
        <v>19.67</v>
      </c>
      <c r="E118" t="n">
        <v>5</v>
      </c>
      <c r="F118" s="20" t="inlineStr">
        <is>
          <t>Core Component</t>
        </is>
      </c>
      <c r="G118" s="2" t="inlineStr">
        <is>
          <t>DISH-001 [.8] | DISH-019 [.2]</t>
        </is>
      </c>
      <c r="H118" s="2" t="inlineStr">
        <is>
          <t>Seafood</t>
        </is>
      </c>
    </row>
    <row r="119">
      <c r="A119" t="inlineStr">
        <is>
          <t>ING-065</t>
        </is>
      </c>
      <c r="B119" t="n">
        <v>290.6</v>
      </c>
      <c r="C119" t="n">
        <v>1</v>
      </c>
      <c r="D119" s="14" t="n">
        <v>2.61</v>
      </c>
      <c r="E119" t="n">
        <v>3</v>
      </c>
      <c r="F119" s="20" t="inlineStr">
        <is>
          <t>Variant Driver</t>
        </is>
      </c>
      <c r="G119" t="inlineStr">
        <is>
          <t>DISH-057 [1]</t>
        </is>
      </c>
      <c r="H119" t="inlineStr">
        <is>
          <t>Red Meat | Grains</t>
        </is>
      </c>
    </row>
    <row r="120">
      <c r="A120" t="inlineStr">
        <is>
          <t>ING-149</t>
        </is>
      </c>
      <c r="B120" t="n">
        <v>568.5</v>
      </c>
      <c r="C120" t="n">
        <v>4</v>
      </c>
      <c r="D120" s="14" t="n">
        <v>5.02</v>
      </c>
      <c r="E120" t="n">
        <v>5</v>
      </c>
      <c r="F120" s="20" t="inlineStr">
        <is>
          <t>Core Component</t>
        </is>
      </c>
      <c r="G120" t="inlineStr">
        <is>
          <t>DISH-027 [1]</t>
        </is>
      </c>
      <c r="H120" t="inlineStr">
        <is>
          <t>Grains</t>
        </is>
      </c>
    </row>
    <row r="121" ht="30" customHeight="1">
      <c r="A121" s="2" t="inlineStr">
        <is>
          <t>ING-093</t>
        </is>
      </c>
      <c r="B121" t="n">
        <v>415</v>
      </c>
      <c r="C121" t="n">
        <v>4</v>
      </c>
      <c r="D121" s="14" t="n">
        <v>3.61</v>
      </c>
      <c r="E121" t="n">
        <v>4.5</v>
      </c>
      <c r="F121" s="20" t="inlineStr">
        <is>
          <t>Modular Protein</t>
        </is>
      </c>
      <c r="G121" t="inlineStr">
        <is>
          <t>DISH-030 [1]</t>
        </is>
      </c>
      <c r="H121" t="inlineStr">
        <is>
          <t>Poultry</t>
        </is>
      </c>
    </row>
    <row r="122" ht="30" customHeight="1">
      <c r="A122" t="inlineStr">
        <is>
          <t>ING-169</t>
        </is>
      </c>
      <c r="B122" t="n">
        <v>270.2</v>
      </c>
      <c r="C122" t="n">
        <v>1</v>
      </c>
      <c r="D122" s="14" t="n">
        <v>3.03</v>
      </c>
      <c r="E122" t="n">
        <v>4</v>
      </c>
      <c r="F122" s="20" t="inlineStr">
        <is>
          <t>Core Component</t>
        </is>
      </c>
      <c r="G122" s="2" t="inlineStr">
        <is>
          <t>DISH-046 [.34] | DISH-060 [.66]</t>
        </is>
      </c>
      <c r="H122" s="2" t="inlineStr">
        <is>
          <t>Sauces &amp; Condiments</t>
        </is>
      </c>
    </row>
    <row r="123" ht="30" customHeight="1">
      <c r="A123" t="inlineStr">
        <is>
          <t>ING-136</t>
        </is>
      </c>
      <c r="B123" t="n">
        <v>186</v>
      </c>
      <c r="C123" t="n">
        <v>1</v>
      </c>
      <c r="D123" s="14" t="n">
        <v>5.92</v>
      </c>
      <c r="E123" t="n">
        <v>4.5</v>
      </c>
      <c r="F123" t="inlineStr">
        <is>
          <t>Primary Component</t>
        </is>
      </c>
      <c r="G123" s="2" t="inlineStr">
        <is>
          <t>DISH-064 [.5] | DISH-124 [.5]</t>
        </is>
      </c>
      <c r="H123" s="2" t="inlineStr">
        <is>
          <t>Vegetables</t>
        </is>
      </c>
    </row>
    <row r="124">
      <c r="A124" s="2" t="inlineStr">
        <is>
          <t>ING-016</t>
        </is>
      </c>
      <c r="B124" t="n">
        <v>103.2</v>
      </c>
      <c r="C124" t="n">
        <v>1</v>
      </c>
      <c r="D124" s="14" t="n">
        <v>4.8</v>
      </c>
      <c r="E124" t="n">
        <v>5</v>
      </c>
      <c r="F124" s="20" t="inlineStr">
        <is>
          <t>Core Component</t>
        </is>
      </c>
      <c r="G124" t="inlineStr">
        <is>
          <t>DISH-002 [1]</t>
        </is>
      </c>
      <c r="H124" t="inlineStr">
        <is>
          <t>Seafood |Vegetables</t>
        </is>
      </c>
    </row>
    <row r="125">
      <c r="A125" t="inlineStr">
        <is>
          <t>ING-040</t>
        </is>
      </c>
      <c r="B125" t="n">
        <v>217.2</v>
      </c>
      <c r="C125" t="n">
        <v>4</v>
      </c>
      <c r="D125" s="14" t="n">
        <v>1.14</v>
      </c>
      <c r="E125" t="n">
        <v>5</v>
      </c>
      <c r="F125" s="20" t="inlineStr">
        <is>
          <t>Support Component</t>
        </is>
      </c>
      <c r="G125" t="inlineStr">
        <is>
          <t>DISH-096 [1]</t>
        </is>
      </c>
      <c r="H125" t="inlineStr">
        <is>
          <t>Vegetables</t>
        </is>
      </c>
    </row>
    <row r="126" ht="30" customHeight="1">
      <c r="A126" t="inlineStr">
        <is>
          <t>ING-010</t>
        </is>
      </c>
      <c r="B126" t="n">
        <v>283.2</v>
      </c>
      <c r="C126" t="n">
        <v>1</v>
      </c>
      <c r="D126" s="14" t="n">
        <v>24.44</v>
      </c>
      <c r="E126" t="n">
        <v>5</v>
      </c>
      <c r="F126" t="inlineStr">
        <is>
          <t>Primary Component</t>
        </is>
      </c>
      <c r="G126" s="2" t="inlineStr">
        <is>
          <t>DISH-125 [.8] | DISH-083 [.2]</t>
        </is>
      </c>
      <c r="H126" s="2" t="inlineStr">
        <is>
          <t>Red Meat</t>
        </is>
      </c>
    </row>
    <row r="127">
      <c r="A127" s="2" t="inlineStr">
        <is>
          <t>ING-176</t>
        </is>
      </c>
      <c r="B127" t="n">
        <v>298.6</v>
      </c>
      <c r="C127" t="n">
        <v>1</v>
      </c>
      <c r="D127" s="14" t="n">
        <v>6.71</v>
      </c>
      <c r="E127" t="n">
        <v>4</v>
      </c>
      <c r="F127" s="20" t="inlineStr">
        <is>
          <t>Core Component</t>
        </is>
      </c>
      <c r="G127" t="inlineStr">
        <is>
          <t>DISH-035 [1]</t>
        </is>
      </c>
      <c r="H127" t="inlineStr">
        <is>
          <t>Vegetables | Sauces &amp; Condiments</t>
        </is>
      </c>
    </row>
    <row r="128">
      <c r="A128" t="inlineStr">
        <is>
          <t>ING-177</t>
        </is>
      </c>
      <c r="B128" t="n">
        <v>330.7</v>
      </c>
      <c r="C128" t="n">
        <v>1</v>
      </c>
      <c r="D128" s="14" t="n">
        <v>5.61</v>
      </c>
      <c r="E128" t="n">
        <v>5</v>
      </c>
      <c r="F128" s="20" t="inlineStr">
        <is>
          <t>Core Component</t>
        </is>
      </c>
      <c r="G128" t="inlineStr">
        <is>
          <t>DISH-029 [1]</t>
        </is>
      </c>
      <c r="H128" t="inlineStr">
        <is>
          <t>Vegetables</t>
        </is>
      </c>
    </row>
    <row r="129" ht="30" customHeight="1">
      <c r="A129" t="inlineStr">
        <is>
          <t>ING-123</t>
        </is>
      </c>
      <c r="B129" t="n">
        <v>218.3</v>
      </c>
      <c r="C129" t="n">
        <v>1</v>
      </c>
      <c r="D129" s="14" t="n">
        <v>2.66</v>
      </c>
      <c r="E129" t="n">
        <v>4.5</v>
      </c>
      <c r="F129" s="20" t="inlineStr">
        <is>
          <t>Variant Driver</t>
        </is>
      </c>
      <c r="G129" s="2" t="inlineStr">
        <is>
          <t>DISH-084 [.5] | DISH-094 [.5]</t>
        </is>
      </c>
      <c r="H129" s="2" t="inlineStr">
        <is>
          <t>Sauces &amp; Condiments</t>
        </is>
      </c>
    </row>
    <row r="130" ht="30" customHeight="1">
      <c r="A130" t="inlineStr">
        <is>
          <t>ING-057</t>
        </is>
      </c>
      <c r="B130" t="n">
        <v>1084.4</v>
      </c>
      <c r="C130" t="n">
        <v>10</v>
      </c>
      <c r="D130" s="14" t="n">
        <v>1.96</v>
      </c>
      <c r="E130" t="n">
        <v>4.5</v>
      </c>
      <c r="F130" s="20" t="inlineStr">
        <is>
          <t>Core Component</t>
        </is>
      </c>
      <c r="G130" s="2" t="inlineStr">
        <is>
          <t>DISH-084 [.5] | DISH-094 [.5]</t>
        </is>
      </c>
      <c r="H130" s="2" t="inlineStr">
        <is>
          <t>Vegetables</t>
        </is>
      </c>
    </row>
    <row r="131" ht="105" customHeight="1">
      <c r="A131" t="inlineStr">
        <is>
          <t>ING-140</t>
        </is>
      </c>
      <c r="B131" t="n">
        <v>466.7</v>
      </c>
      <c r="C131" t="n">
        <v>64</v>
      </c>
      <c r="D131" s="14" t="n">
        <v>0.52</v>
      </c>
      <c r="E131" t="n">
        <v>2</v>
      </c>
      <c r="F131" s="20" t="inlineStr">
        <is>
          <t>Variant Driver</t>
        </is>
      </c>
      <c r="G131" s="2" t="inlineStr">
        <is>
          <t>DISH-100 [.1425] | DISH-102 [.1425] | DISH-127 [.1425] | DISH-106 [.1425] | DISH-013 [.1425] | DISH-024 [.1425] | DISH-040 [.145]</t>
        </is>
      </c>
      <c r="H131" s="2" t="inlineStr">
        <is>
          <t>Herbs &amp; Garnishes</t>
        </is>
      </c>
    </row>
    <row r="132">
      <c r="A132" s="2" t="inlineStr">
        <is>
          <t>ING-092</t>
        </is>
      </c>
      <c r="B132" t="n">
        <v>308.2</v>
      </c>
      <c r="C132" t="n">
        <v>20</v>
      </c>
      <c r="D132" s="14" t="n">
        <v>0.55</v>
      </c>
      <c r="E132" t="n">
        <v>5</v>
      </c>
      <c r="F132" s="20" t="inlineStr">
        <is>
          <t>Condiment/Spread</t>
        </is>
      </c>
      <c r="G132" t="inlineStr">
        <is>
          <t>DISH-128 [1]</t>
        </is>
      </c>
      <c r="H132" t="inlineStr">
        <is>
          <t>Dairy Alternatives</t>
        </is>
      </c>
    </row>
    <row r="133">
      <c r="A133" t="inlineStr">
        <is>
          <t>ING-004</t>
        </is>
      </c>
      <c r="B133" t="n">
        <v>125.1</v>
      </c>
      <c r="C133" t="n">
        <v>1</v>
      </c>
      <c r="D133" s="14" t="n">
        <v>0.87</v>
      </c>
      <c r="E133" t="n">
        <v>5</v>
      </c>
      <c r="F133" s="20" t="inlineStr">
        <is>
          <t>Support Component</t>
        </is>
      </c>
      <c r="G133" t="inlineStr">
        <is>
          <t>DISH-031 [1]</t>
        </is>
      </c>
      <c r="H133" t="inlineStr">
        <is>
          <t>Dairy Alternatives</t>
        </is>
      </c>
    </row>
    <row r="134">
      <c r="A134" s="2" t="inlineStr">
        <is>
          <t>ING-083</t>
        </is>
      </c>
      <c r="B134" t="n">
        <v>278.6</v>
      </c>
      <c r="C134" t="n">
        <v>1</v>
      </c>
      <c r="D134" s="14" t="n">
        <v>2.06</v>
      </c>
      <c r="E134" t="n">
        <v>5</v>
      </c>
      <c r="F134" s="20" t="inlineStr">
        <is>
          <t>Core Component</t>
        </is>
      </c>
      <c r="G134" t="inlineStr">
        <is>
          <t>DISH-002 [1]</t>
        </is>
      </c>
      <c r="H134" t="inlineStr">
        <is>
          <t>Sauces &amp; Condiments</t>
        </is>
      </c>
    </row>
    <row r="135" ht="45" customHeight="1">
      <c r="A135" t="inlineStr">
        <is>
          <t>ING-135</t>
        </is>
      </c>
      <c r="B135" t="n">
        <v>313.2</v>
      </c>
      <c r="C135" t="n">
        <v>3</v>
      </c>
      <c r="D135" s="14" t="n">
        <v>3.88</v>
      </c>
      <c r="E135" t="n">
        <v>5</v>
      </c>
      <c r="F135" s="20" t="inlineStr">
        <is>
          <t>Base/Carrier</t>
        </is>
      </c>
      <c r="G135" s="2" t="inlineStr">
        <is>
          <t>DISH-059 [.35] | DISH-032 [.4] | DISH-122 [.25]</t>
        </is>
      </c>
      <c r="H135" s="2" t="inlineStr">
        <is>
          <t>Grains</t>
        </is>
      </c>
    </row>
    <row r="136">
      <c r="A136" t="inlineStr">
        <is>
          <t>ING-063</t>
        </is>
      </c>
      <c r="B136" t="n">
        <v>137</v>
      </c>
      <c r="C136" t="n">
        <v>1</v>
      </c>
      <c r="D136" s="14" t="n">
        <v>8.880000000000001</v>
      </c>
      <c r="E136" t="n">
        <v>4</v>
      </c>
      <c r="F136" s="20" t="inlineStr">
        <is>
          <t>Core Component</t>
        </is>
      </c>
      <c r="G136" t="inlineStr">
        <is>
          <t>DISH-005 [1]</t>
        </is>
      </c>
      <c r="H136" t="inlineStr">
        <is>
          <t>Vegetables</t>
        </is>
      </c>
    </row>
    <row r="137" ht="45" customHeight="1">
      <c r="A137" s="2" t="inlineStr">
        <is>
          <t>ING-096</t>
        </is>
      </c>
      <c r="B137" t="n">
        <v>417.7</v>
      </c>
      <c r="C137" t="n">
        <v>1</v>
      </c>
      <c r="D137" s="14" t="n">
        <v>5.87</v>
      </c>
      <c r="E137" t="n">
        <v>5</v>
      </c>
      <c r="F137" s="20" t="inlineStr">
        <is>
          <t>Variant Driver</t>
        </is>
      </c>
      <c r="G137" s="2" t="inlineStr">
        <is>
          <t>DISH-050 [.75] | DISH-044 [.25]</t>
        </is>
      </c>
      <c r="H137" s="2" t="inlineStr">
        <is>
          <t>Red Meat | Sauces &amp; Condiments</t>
        </is>
      </c>
    </row>
    <row r="138">
      <c r="A138" t="inlineStr">
        <is>
          <t>ING-151</t>
        </is>
      </c>
      <c r="B138" t="n">
        <v>85.2</v>
      </c>
      <c r="C138" t="n">
        <v>1</v>
      </c>
      <c r="D138" s="14" t="n">
        <v>4.74</v>
      </c>
      <c r="E138" t="n">
        <v>4.5</v>
      </c>
      <c r="F138" t="inlineStr">
        <is>
          <t>Primary Component</t>
        </is>
      </c>
      <c r="G138" t="inlineStr">
        <is>
          <t>DISH-068 [1]</t>
        </is>
      </c>
      <c r="H138" t="inlineStr">
        <is>
          <t>Plant Proteins</t>
        </is>
      </c>
    </row>
    <row r="139">
      <c r="A139" t="inlineStr">
        <is>
          <t>ING-069</t>
        </is>
      </c>
      <c r="B139" t="n">
        <v>282.1</v>
      </c>
      <c r="C139" t="n">
        <v>1</v>
      </c>
      <c r="D139" s="14" t="n">
        <v>6.77</v>
      </c>
      <c r="E139" t="n">
        <v>4.5</v>
      </c>
      <c r="F139" s="20" t="inlineStr">
        <is>
          <t>Variant Driver</t>
        </is>
      </c>
      <c r="G139" t="inlineStr">
        <is>
          <t>DISH-059 [1]</t>
        </is>
      </c>
      <c r="H139" t="inlineStr">
        <is>
          <t>Sauces &amp; Condiments</t>
        </is>
      </c>
    </row>
    <row r="140">
      <c r="A140" t="inlineStr">
        <is>
          <t>ING-105</t>
        </is>
      </c>
      <c r="B140" t="n">
        <v>90.40000000000001</v>
      </c>
      <c r="C140" t="n">
        <v>1</v>
      </c>
      <c r="D140" s="14" t="n">
        <v>2.25</v>
      </c>
      <c r="E140" t="n">
        <v>4.5</v>
      </c>
      <c r="F140" s="20" t="inlineStr">
        <is>
          <t>Support Component</t>
        </is>
      </c>
      <c r="G140" t="inlineStr">
        <is>
          <t>DISH-055 [1]</t>
        </is>
      </c>
      <c r="H140" t="inlineStr">
        <is>
          <t>Sauces &amp; Condiments</t>
        </is>
      </c>
    </row>
    <row r="141" ht="45" customHeight="1">
      <c r="A141" t="inlineStr">
        <is>
          <t>ING-034</t>
        </is>
      </c>
      <c r="B141" t="n">
        <v>218.1</v>
      </c>
      <c r="C141" t="n">
        <v>1</v>
      </c>
      <c r="D141" s="14" t="n">
        <v>4.69</v>
      </c>
      <c r="E141" t="n">
        <v>4</v>
      </c>
      <c r="F141" s="20" t="inlineStr">
        <is>
          <t>Core Component</t>
        </is>
      </c>
      <c r="G141" s="2" t="inlineStr">
        <is>
          <t>DISH-100 [.33] | DISH-102 [.34] | DISH-127 [.33]</t>
        </is>
      </c>
      <c r="H141" s="2" t="inlineStr">
        <is>
          <t>Grains</t>
        </is>
      </c>
    </row>
    <row r="142">
      <c r="A142" t="inlineStr">
        <is>
          <t>ING-163</t>
        </is>
      </c>
      <c r="B142" t="n">
        <v>305.3</v>
      </c>
      <c r="C142" t="n">
        <v>1</v>
      </c>
      <c r="D142" s="14" t="n">
        <v>1.14</v>
      </c>
      <c r="E142" t="n">
        <v>4.5</v>
      </c>
      <c r="F142" s="20" t="inlineStr">
        <is>
          <t>Core Component</t>
        </is>
      </c>
      <c r="G142" t="inlineStr">
        <is>
          <t>DISH-099 [1]</t>
        </is>
      </c>
      <c r="H142" t="inlineStr">
        <is>
          <t>Soup</t>
        </is>
      </c>
    </row>
    <row r="143">
      <c r="A143" t="inlineStr">
        <is>
          <t>ING-042</t>
        </is>
      </c>
      <c r="B143" t="n">
        <v>919</v>
      </c>
      <c r="C143" t="n">
        <v>15</v>
      </c>
      <c r="D143" s="14" t="n">
        <v>0.57</v>
      </c>
      <c r="E143" t="n">
        <v>3</v>
      </c>
      <c r="F143" s="20" t="inlineStr">
        <is>
          <t>Condiment/Spread</t>
        </is>
      </c>
      <c r="G143" t="inlineStr">
        <is>
          <t>DISH-028 [1]</t>
        </is>
      </c>
      <c r="H143" t="inlineStr">
        <is>
          <t>Sauces &amp; Condiments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tabSelected="1" topLeftCell="A62" workbookViewId="0">
      <selection activeCell="D73" sqref="D73"/>
    </sheetView>
  </sheetViews>
  <sheetFormatPr baseColWidth="8" defaultRowHeight="15"/>
  <cols>
    <col width="36.5703125" bestFit="1" customWidth="1" min="1" max="1"/>
    <col width="15.7109375" customWidth="1" style="25" min="2" max="2"/>
    <col width="36.5703125" bestFit="1" customWidth="1" min="3" max="3"/>
    <col width="29.85546875" bestFit="1" customWidth="1" min="4" max="4"/>
  </cols>
  <sheetData>
    <row r="1">
      <c r="A1" s="18" t="inlineStr">
        <is>
          <t>Menu Item</t>
        </is>
      </c>
      <c r="B1" s="26" t="inlineStr">
        <is>
          <t>Menu Price ($)</t>
        </is>
      </c>
      <c r="C1" s="18" t="inlineStr">
        <is>
          <t>Ingredients</t>
        </is>
      </c>
      <c r="D1" s="18" t="inlineStr">
        <is>
          <t>% of Menu Price</t>
        </is>
      </c>
    </row>
    <row r="2" ht="45" customHeight="1">
      <c r="A2" s="2" t="inlineStr">
        <is>
          <t>DISH-115</t>
        </is>
      </c>
      <c r="B2" s="24" t="n">
        <v>21.99</v>
      </c>
      <c r="C2" s="2" t="inlineStr">
        <is>
          <t>ING-164 (2x) | ING-041 | ING-121 | ING-173</t>
        </is>
      </c>
      <c r="D2" t="inlineStr">
        <is>
          <t>.65 | .2 | .10 | .05</t>
        </is>
      </c>
    </row>
    <row r="3" ht="30" customHeight="1">
      <c r="A3" s="2" t="inlineStr">
        <is>
          <t>DISH-023</t>
        </is>
      </c>
      <c r="B3" s="24" t="n">
        <v>17.99</v>
      </c>
      <c r="C3" s="2" t="inlineStr">
        <is>
          <t>ING-164 | ING-184 | ING-173</t>
        </is>
      </c>
      <c r="D3" t="inlineStr">
        <is>
          <t>.60 | .35 | .05</t>
        </is>
      </c>
    </row>
    <row r="4" ht="30" customHeight="1">
      <c r="A4" s="2" t="inlineStr">
        <is>
          <t>DISH-055</t>
        </is>
      </c>
      <c r="B4" s="24" t="n">
        <v>9.99</v>
      </c>
      <c r="C4" s="2" t="inlineStr">
        <is>
          <t>ING-029 | ING-105 | ING-064 | ING-173</t>
        </is>
      </c>
      <c r="D4" t="inlineStr">
        <is>
          <t>.8 | .15 | 0 | .05</t>
        </is>
      </c>
    </row>
    <row r="5" ht="45" customHeight="1">
      <c r="A5" s="2" t="inlineStr">
        <is>
          <t>DISH-059</t>
        </is>
      </c>
      <c r="B5" s="24" t="n">
        <v>18.99</v>
      </c>
      <c r="C5" s="2" t="inlineStr">
        <is>
          <t>ING-135 | ING-069 | ING-025 | ING-173</t>
        </is>
      </c>
      <c r="D5" t="inlineStr">
        <is>
          <t>.55 | .35 | .05 | .05</t>
        </is>
      </c>
    </row>
    <row r="6" ht="30" customHeight="1">
      <c r="A6" s="2" t="inlineStr">
        <is>
          <t>DISH-058</t>
        </is>
      </c>
      <c r="B6" s="24" t="n">
        <v>9.99</v>
      </c>
      <c r="C6" s="2" t="inlineStr">
        <is>
          <t>ING-129 | ING-116 | ING-098 | ING-026</t>
        </is>
      </c>
      <c r="D6" t="inlineStr">
        <is>
          <t>.55 | .2 | .15 | .1</t>
        </is>
      </c>
    </row>
    <row r="7" ht="30" customHeight="1">
      <c r="A7" s="2" t="inlineStr">
        <is>
          <t>DISH-036</t>
        </is>
      </c>
      <c r="B7" s="24" t="n">
        <v>8.99</v>
      </c>
      <c r="C7" s="2" t="inlineStr">
        <is>
          <t>ING-129 | ING-084 | ING-098 | ING-138</t>
        </is>
      </c>
      <c r="D7" t="inlineStr">
        <is>
          <t>.55 | .2 | .15 | .1</t>
        </is>
      </c>
    </row>
    <row r="8">
      <c r="A8" s="2" t="inlineStr">
        <is>
          <t>DISH-114</t>
        </is>
      </c>
      <c r="B8" s="24" t="n">
        <v>3.99</v>
      </c>
      <c r="C8" t="inlineStr">
        <is>
          <t>ING-157</t>
        </is>
      </c>
      <c r="D8" t="n">
        <v>1</v>
      </c>
    </row>
    <row r="9">
      <c r="A9" s="2" t="inlineStr">
        <is>
          <t>DISH-031</t>
        </is>
      </c>
      <c r="B9" s="24" t="n">
        <v>3.99</v>
      </c>
      <c r="C9" t="inlineStr">
        <is>
          <t>ING-157 | ING-004</t>
        </is>
      </c>
      <c r="D9" t="inlineStr">
        <is>
          <t>.75 | .25</t>
        </is>
      </c>
    </row>
    <row r="10">
      <c r="A10" s="2" t="inlineStr">
        <is>
          <t>DISH-007</t>
        </is>
      </c>
      <c r="B10" s="24" t="n">
        <v>5.99</v>
      </c>
      <c r="C10" t="inlineStr">
        <is>
          <t>ING-021</t>
        </is>
      </c>
      <c r="D10" t="n">
        <v>1</v>
      </c>
    </row>
    <row r="11">
      <c r="A11" s="2" t="inlineStr">
        <is>
          <t>DISH-011</t>
        </is>
      </c>
      <c r="B11" s="24" t="n">
        <v>11.99</v>
      </c>
      <c r="C11" t="inlineStr">
        <is>
          <t>ING-109 | ING-166</t>
        </is>
      </c>
      <c r="D11" t="inlineStr">
        <is>
          <t>.9 | .1</t>
        </is>
      </c>
    </row>
    <row r="12">
      <c r="A12" s="2" t="inlineStr">
        <is>
          <t>DISH-054</t>
        </is>
      </c>
      <c r="B12" s="24" t="n">
        <v>20.99</v>
      </c>
      <c r="C12" t="inlineStr">
        <is>
          <t>ING-109 | ING-166</t>
        </is>
      </c>
      <c r="D12" t="inlineStr">
        <is>
          <t>.9 | .1</t>
        </is>
      </c>
    </row>
    <row r="13">
      <c r="A13" s="2" t="inlineStr">
        <is>
          <t>DISH-022</t>
        </is>
      </c>
      <c r="B13" s="24" t="n">
        <v>10.99</v>
      </c>
      <c r="C13" t="inlineStr">
        <is>
          <t>ING-048 | ING-166</t>
        </is>
      </c>
      <c r="D13" t="inlineStr">
        <is>
          <t>.9 | .1</t>
        </is>
      </c>
    </row>
    <row r="14">
      <c r="A14" s="2" t="inlineStr">
        <is>
          <t>DISH-079</t>
        </is>
      </c>
      <c r="B14" s="24" t="n">
        <v>15.99</v>
      </c>
      <c r="C14" t="inlineStr">
        <is>
          <t>ING-048 | ING-166</t>
        </is>
      </c>
      <c r="D14" t="inlineStr">
        <is>
          <t>.9 | .1</t>
        </is>
      </c>
    </row>
    <row r="15">
      <c r="A15" s="2" t="inlineStr">
        <is>
          <t>DISH-018</t>
        </is>
      </c>
      <c r="B15" s="24" t="n">
        <v>7.99</v>
      </c>
      <c r="C15" t="inlineStr">
        <is>
          <t>ING-108 | ING-166</t>
        </is>
      </c>
      <c r="D15" t="inlineStr">
        <is>
          <t>.9 | .1</t>
        </is>
      </c>
    </row>
    <row r="16">
      <c r="A16" s="2" t="inlineStr">
        <is>
          <t>DISH-081</t>
        </is>
      </c>
      <c r="B16" s="24" t="n">
        <v>9.99</v>
      </c>
      <c r="C16" t="inlineStr">
        <is>
          <t>ING-108 | ING-166</t>
        </is>
      </c>
      <c r="D16" t="inlineStr">
        <is>
          <t>.9 | .1</t>
        </is>
      </c>
    </row>
    <row r="17" ht="45" customHeight="1">
      <c r="A17" s="2" t="inlineStr">
        <is>
          <t>DISH-100</t>
        </is>
      </c>
      <c r="B17" s="24" t="n">
        <v>17.99</v>
      </c>
      <c r="C17" s="2" t="inlineStr">
        <is>
          <t>ING-034 | ING-081 | ING-066 | ING-140 | ING-033</t>
        </is>
      </c>
      <c r="D17" t="inlineStr">
        <is>
          <t>.25 | .15 | .5 | .05 | .05</t>
        </is>
      </c>
    </row>
    <row r="18" ht="45" customHeight="1">
      <c r="A18" s="2" t="inlineStr">
        <is>
          <t>DISH-102</t>
        </is>
      </c>
      <c r="B18" s="24" t="n">
        <v>17.99</v>
      </c>
      <c r="C18" s="2" t="inlineStr">
        <is>
          <t>ING-034 | ING-081 | ING-089 | ING-140 | ING-033</t>
        </is>
      </c>
      <c r="D18" t="inlineStr">
        <is>
          <t>.25 | .15 | .5 | .05 | .05</t>
        </is>
      </c>
    </row>
    <row r="19" ht="45" customHeight="1">
      <c r="A19" s="2" t="inlineStr">
        <is>
          <t>DISH-127</t>
        </is>
      </c>
      <c r="B19" s="24" t="n">
        <v>17.99</v>
      </c>
      <c r="C19" s="2" t="inlineStr">
        <is>
          <t>ING-034 | ING-081 | ING-115 | ING-140 | ING-033</t>
        </is>
      </c>
      <c r="D19" t="inlineStr">
        <is>
          <t>.25 | .15 | .5 | .05 | .05</t>
        </is>
      </c>
    </row>
    <row r="20" ht="45" customHeight="1">
      <c r="A20" s="2" t="inlineStr">
        <is>
          <t>DISH-093</t>
        </is>
      </c>
      <c r="B20" s="24" t="n">
        <v>14.99</v>
      </c>
      <c r="C20" s="2" t="inlineStr">
        <is>
          <t>ING-132 | ING-143 | ING-122 | ING-066 | ING-101</t>
        </is>
      </c>
      <c r="D20" t="inlineStr">
        <is>
          <t>.25 | .12 | .15 | .4 | .08</t>
        </is>
      </c>
    </row>
    <row r="21" ht="45" customHeight="1">
      <c r="A21" s="2" t="inlineStr">
        <is>
          <t>DISH-056</t>
        </is>
      </c>
      <c r="B21" s="24" t="n">
        <v>16.99</v>
      </c>
      <c r="C21" s="2" t="inlineStr">
        <is>
          <t>ING-132 | ING-143 | ING-122 | ING-089 | ING-101</t>
        </is>
      </c>
      <c r="D21" t="inlineStr">
        <is>
          <t>.25 | .12 | .15 | .4 | .08</t>
        </is>
      </c>
    </row>
    <row r="22" ht="45" customHeight="1">
      <c r="A22" s="2" t="inlineStr">
        <is>
          <t>DISH-037</t>
        </is>
      </c>
      <c r="B22" s="24" t="n">
        <v>17.99</v>
      </c>
      <c r="C22" s="2" t="inlineStr">
        <is>
          <t>ING-132 | ING-143 | ING-122 | ING-115 | ING-101</t>
        </is>
      </c>
      <c r="D22" t="inlineStr">
        <is>
          <t>.25 | .12 | .15 | .4 | .08</t>
        </is>
      </c>
    </row>
    <row r="23" ht="30" customHeight="1">
      <c r="A23" s="2" t="inlineStr">
        <is>
          <t>DISH-057</t>
        </is>
      </c>
      <c r="B23" s="24" t="n">
        <v>29.99</v>
      </c>
      <c r="C23" s="2" t="inlineStr">
        <is>
          <t>ING-061 | ING-065 | ING-117</t>
        </is>
      </c>
      <c r="D23" t="inlineStr">
        <is>
          <t>.7 | .2 | .1</t>
        </is>
      </c>
    </row>
    <row r="24">
      <c r="A24" s="2" t="inlineStr">
        <is>
          <t>DISH-098</t>
        </is>
      </c>
      <c r="B24" s="24" t="n">
        <v>7.99</v>
      </c>
      <c r="C24" t="inlineStr">
        <is>
          <t>ING-028</t>
        </is>
      </c>
      <c r="D24" t="n">
        <v>1</v>
      </c>
    </row>
    <row r="25">
      <c r="A25" s="2" t="inlineStr">
        <is>
          <t>DISH-082</t>
        </is>
      </c>
      <c r="B25" s="24" t="n">
        <v>4.99</v>
      </c>
      <c r="C25" t="inlineStr">
        <is>
          <t>ING-028 | ING-128</t>
        </is>
      </c>
      <c r="D25" t="inlineStr">
        <is>
          <t>1 | 0</t>
        </is>
      </c>
    </row>
    <row r="26" ht="30" customHeight="1">
      <c r="A26" s="2" t="inlineStr">
        <is>
          <t>DISH-012</t>
        </is>
      </c>
      <c r="B26" s="24" t="n">
        <v>16.99</v>
      </c>
      <c r="C26" s="2" t="inlineStr">
        <is>
          <t>ING-028 | ING-144</t>
        </is>
      </c>
      <c r="D26" t="inlineStr">
        <is>
          <t>.7 | .3</t>
        </is>
      </c>
    </row>
    <row r="27" ht="30" customHeight="1">
      <c r="A27" s="2" t="inlineStr">
        <is>
          <t>DISH-051</t>
        </is>
      </c>
      <c r="B27" s="24" t="n">
        <v>13.99</v>
      </c>
      <c r="C27" s="2" t="inlineStr">
        <is>
          <t>ING-120 | ING-001 | ING-153</t>
        </is>
      </c>
      <c r="D27" t="inlineStr">
        <is>
          <t>.45 | .25 | .3</t>
        </is>
      </c>
    </row>
    <row r="28" ht="30" customHeight="1">
      <c r="A28" s="2" t="inlineStr">
        <is>
          <t>DISH-016</t>
        </is>
      </c>
      <c r="B28" s="24" t="n">
        <v>11.99</v>
      </c>
      <c r="C28" s="2" t="inlineStr">
        <is>
          <t>ING-182 | ING-035 | ING-018 | ING-119</t>
        </is>
      </c>
      <c r="D28" t="inlineStr">
        <is>
          <t>.45 | .2 | .025 | .325</t>
        </is>
      </c>
    </row>
    <row r="29" ht="30" customHeight="1">
      <c r="A29" s="2" t="inlineStr">
        <is>
          <t>DISH-083</t>
        </is>
      </c>
      <c r="B29" s="24" t="n">
        <v>28.99</v>
      </c>
      <c r="C29" s="2" t="inlineStr">
        <is>
          <t>ING-010 | ING-044 | ING-079 | ING-078</t>
        </is>
      </c>
      <c r="D29" t="inlineStr">
        <is>
          <t>.65 | .2 | .1 | .05</t>
        </is>
      </c>
    </row>
    <row r="30" ht="30" customHeight="1">
      <c r="A30" s="2" t="inlineStr">
        <is>
          <t>DISH-095</t>
        </is>
      </c>
      <c r="B30" s="24" t="n">
        <v>9.99</v>
      </c>
      <c r="C30" s="2" t="inlineStr">
        <is>
          <t>ING-068 | ING-144 | ING-183</t>
        </is>
      </c>
      <c r="D30" t="inlineStr">
        <is>
          <t>.7 | .25 | .05</t>
        </is>
      </c>
    </row>
    <row r="31" ht="30" customHeight="1">
      <c r="A31" s="2" t="inlineStr">
        <is>
          <t>DISH-109</t>
        </is>
      </c>
      <c r="B31" s="24" t="n">
        <v>8.99</v>
      </c>
      <c r="C31" s="2" t="inlineStr">
        <is>
          <t>ING-068 | ING-050</t>
        </is>
      </c>
      <c r="D31" t="inlineStr">
        <is>
          <t>.8 | .2</t>
        </is>
      </c>
    </row>
    <row r="32" ht="30" customHeight="1">
      <c r="A32" s="2" t="inlineStr">
        <is>
          <t>DISH-017</t>
        </is>
      </c>
      <c r="B32" s="24" t="n">
        <v>8.99</v>
      </c>
      <c r="C32" s="2" t="inlineStr">
        <is>
          <t>ING-060 | ING-173 | ING-147</t>
        </is>
      </c>
      <c r="D32" t="inlineStr">
        <is>
          <t>.75 | .2 | .05</t>
        </is>
      </c>
    </row>
    <row r="33">
      <c r="A33" s="2" t="inlineStr">
        <is>
          <t>DISH-025</t>
        </is>
      </c>
      <c r="B33" s="24" t="n">
        <v>27.99</v>
      </c>
      <c r="C33" t="inlineStr">
        <is>
          <t>ING-095 | ING-166</t>
        </is>
      </c>
      <c r="D33" t="inlineStr">
        <is>
          <t>.75 | .25</t>
        </is>
      </c>
    </row>
    <row r="34" ht="30" customHeight="1">
      <c r="A34" s="2" t="inlineStr">
        <is>
          <t>DISH-103</t>
        </is>
      </c>
      <c r="B34" s="24" t="n">
        <v>29.99</v>
      </c>
      <c r="C34" t="inlineStr">
        <is>
          <t>ING-095 | ING-133</t>
        </is>
      </c>
      <c r="D34" t="inlineStr">
        <is>
          <t>.75 | .25</t>
        </is>
      </c>
    </row>
    <row r="35" ht="30" customHeight="1">
      <c r="A35" s="2" t="inlineStr">
        <is>
          <t>DISH-009</t>
        </is>
      </c>
      <c r="B35" s="24" t="n">
        <v>17.99</v>
      </c>
      <c r="C35" s="2" t="inlineStr">
        <is>
          <t>ING-086 | ING-115 | ING-162 | ING-094</t>
        </is>
      </c>
      <c r="D35" t="inlineStr">
        <is>
          <t>.2 | .4 | .2 | .2</t>
        </is>
      </c>
    </row>
    <row r="36">
      <c r="A36" s="2" t="inlineStr">
        <is>
          <t>DISH-113</t>
        </is>
      </c>
      <c r="B36" s="24" t="n">
        <v>16.99</v>
      </c>
      <c r="C36" t="inlineStr">
        <is>
          <t>ING-036 | ING-130</t>
        </is>
      </c>
      <c r="D36" t="inlineStr">
        <is>
          <t>.7 | .3</t>
        </is>
      </c>
    </row>
    <row r="37" ht="30" customHeight="1">
      <c r="A37" s="2" t="inlineStr">
        <is>
          <t>DISH-001</t>
        </is>
      </c>
      <c r="B37" s="24" t="n">
        <v>25.99</v>
      </c>
      <c r="C37" s="2" t="inlineStr">
        <is>
          <t>ING-126 | ING-049 | ING-012</t>
        </is>
      </c>
      <c r="D37" t="inlineStr">
        <is>
          <t>.7 | .15 | .15</t>
        </is>
      </c>
    </row>
    <row r="38" ht="30" customHeight="1">
      <c r="A38" s="2" t="inlineStr">
        <is>
          <t>DISH-019</t>
        </is>
      </c>
      <c r="B38" s="24" t="n">
        <v>24.99</v>
      </c>
      <c r="C38" s="2" t="inlineStr">
        <is>
          <t>ING-126 | ING-125 | ING-013</t>
        </is>
      </c>
      <c r="D38" t="inlineStr">
        <is>
          <t>.6 | .2 | .2</t>
        </is>
      </c>
    </row>
    <row r="39" ht="30" customHeight="1">
      <c r="A39" s="2" t="inlineStr">
        <is>
          <t>DISH-039</t>
        </is>
      </c>
      <c r="B39" s="24" t="n">
        <v>26.99</v>
      </c>
      <c r="C39" s="2" t="inlineStr">
        <is>
          <t>ING-046 | ING-053 | ING-171</t>
        </is>
      </c>
      <c r="D39" t="inlineStr">
        <is>
          <t>.7 | .1 | .2</t>
        </is>
      </c>
    </row>
    <row r="40">
      <c r="A40" s="2" t="inlineStr">
        <is>
          <t>DISH-070</t>
        </is>
      </c>
      <c r="B40" s="24" t="n">
        <v>27.99</v>
      </c>
      <c r="C40" t="inlineStr">
        <is>
          <t>ING-046 | ING-104</t>
        </is>
      </c>
      <c r="D40" t="inlineStr">
        <is>
          <t>.75 | .25</t>
        </is>
      </c>
    </row>
    <row r="41" ht="45" customHeight="1">
      <c r="A41" s="2" t="inlineStr">
        <is>
          <t>DISH-053</t>
        </is>
      </c>
      <c r="B41" s="24" t="n">
        <v>30.99</v>
      </c>
      <c r="C41" s="2" t="inlineStr">
        <is>
          <t>ING-046 | ING-088 | ING-134</t>
        </is>
      </c>
      <c r="D41" t="inlineStr">
        <is>
          <t>.7 | .2 | .1</t>
        </is>
      </c>
    </row>
    <row r="42">
      <c r="A42" s="2" t="inlineStr">
        <is>
          <t>DISH-104</t>
        </is>
      </c>
      <c r="B42" s="24" t="n">
        <v>8.99</v>
      </c>
      <c r="C42" t="inlineStr">
        <is>
          <t>ING-098 | ING-179</t>
        </is>
      </c>
      <c r="D42" t="inlineStr">
        <is>
          <t>.2 | .8</t>
        </is>
      </c>
    </row>
    <row r="43" ht="30" customHeight="1">
      <c r="A43" s="2" t="inlineStr">
        <is>
          <t>DISH-069</t>
        </is>
      </c>
      <c r="B43" s="24" t="n">
        <v>15.99</v>
      </c>
      <c r="C43" s="2" t="inlineStr">
        <is>
          <t>ING-185 | ING-098 | ING-180</t>
        </is>
      </c>
      <c r="D43" t="inlineStr">
        <is>
          <t>.3 | .1 | .6</t>
        </is>
      </c>
    </row>
    <row r="44" ht="30" customHeight="1">
      <c r="A44" s="2" t="inlineStr">
        <is>
          <t>DISH-108</t>
        </is>
      </c>
      <c r="B44" s="24" t="n">
        <v>9.99</v>
      </c>
      <c r="C44" s="2" t="inlineStr">
        <is>
          <t>ING-045 | ING-011</t>
        </is>
      </c>
      <c r="D44" t="inlineStr">
        <is>
          <t>.7 | .3</t>
        </is>
      </c>
    </row>
    <row r="45" ht="30" customHeight="1">
      <c r="A45" s="2" t="inlineStr">
        <is>
          <t>DISH-063</t>
        </is>
      </c>
      <c r="B45" s="24" t="n">
        <v>11.99</v>
      </c>
      <c r="C45" s="2" t="inlineStr">
        <is>
          <t>ING-045 | ING-098 | ING-059</t>
        </is>
      </c>
      <c r="D45" t="inlineStr">
        <is>
          <t>.55 | .25 | .2</t>
        </is>
      </c>
    </row>
    <row r="46">
      <c r="A46" s="2" t="inlineStr">
        <is>
          <t>DISH-089</t>
        </is>
      </c>
      <c r="B46" s="24" t="n">
        <v>18.99</v>
      </c>
      <c r="C46" t="inlineStr">
        <is>
          <t>ING-150 | ING-166</t>
        </is>
      </c>
      <c r="D46" t="inlineStr">
        <is>
          <t>.85 | .15</t>
        </is>
      </c>
    </row>
    <row r="47">
      <c r="A47" s="2" t="inlineStr">
        <is>
          <t>DISH-020</t>
        </is>
      </c>
      <c r="B47" s="24" t="n">
        <v>13.99</v>
      </c>
      <c r="C47" t="inlineStr">
        <is>
          <t>ING-150 | ING-166 | ING-181</t>
        </is>
      </c>
      <c r="D47" t="inlineStr">
        <is>
          <t>.7 | .1 | .2</t>
        </is>
      </c>
    </row>
    <row r="48" ht="30" customHeight="1">
      <c r="A48" s="2" t="inlineStr">
        <is>
          <t>DISH-038</t>
        </is>
      </c>
      <c r="B48" s="24" t="n">
        <v>35.99</v>
      </c>
      <c r="C48" s="2" t="inlineStr">
        <is>
          <t>ING-111 | ING-068 | ING-056</t>
        </is>
      </c>
      <c r="D48" t="inlineStr">
        <is>
          <t>.75 | .225 | .025</t>
        </is>
      </c>
    </row>
    <row r="49">
      <c r="A49" s="2" t="inlineStr">
        <is>
          <t>DISH-121</t>
        </is>
      </c>
      <c r="B49" s="24" t="n">
        <v>17.99</v>
      </c>
      <c r="C49" t="inlineStr">
        <is>
          <t>ING-152 | ING-066 | ING-140</t>
        </is>
      </c>
      <c r="D49" t="inlineStr">
        <is>
          <t>.5 | .45 | .05</t>
        </is>
      </c>
    </row>
    <row r="50" ht="30" customHeight="1">
      <c r="A50" s="2" t="inlineStr">
        <is>
          <t>DISH-120</t>
        </is>
      </c>
      <c r="B50" s="24" t="n">
        <v>16.99</v>
      </c>
      <c r="C50" s="2" t="inlineStr">
        <is>
          <t>ING-152 | ING-089 | ING-140</t>
        </is>
      </c>
      <c r="D50" t="inlineStr">
        <is>
          <t xml:space="preserve">.5 | .45 | .05 </t>
        </is>
      </c>
    </row>
    <row r="51" ht="30" customHeight="1">
      <c r="A51" s="2" t="inlineStr">
        <is>
          <t>DISH-042</t>
        </is>
      </c>
      <c r="B51" s="24" t="n">
        <v>20.99</v>
      </c>
      <c r="C51" s="2" t="inlineStr">
        <is>
          <t>ING-152 | ING-110 | ING-140</t>
        </is>
      </c>
      <c r="D51" t="inlineStr">
        <is>
          <t>.5 | .45 | .05</t>
        </is>
      </c>
    </row>
    <row r="52" ht="30" customHeight="1">
      <c r="A52" s="2" t="inlineStr">
        <is>
          <t>DISH-128</t>
        </is>
      </c>
      <c r="B52" s="24" t="n">
        <v>16.99</v>
      </c>
      <c r="C52" s="2" t="inlineStr">
        <is>
          <t>ING-076 | ING-066 | ING-140 | ING-092</t>
        </is>
      </c>
      <c r="D52" t="inlineStr">
        <is>
          <t>.5 | .45 | .05 | 0</t>
        </is>
      </c>
    </row>
    <row r="53" ht="30" customHeight="1">
      <c r="A53" s="2" t="inlineStr">
        <is>
          <t>DISH-101</t>
        </is>
      </c>
      <c r="B53" s="24" t="n">
        <v>16.99</v>
      </c>
      <c r="C53" s="2" t="inlineStr">
        <is>
          <t>ING-076 | ING-089 | ING-140</t>
        </is>
      </c>
      <c r="D53" t="inlineStr">
        <is>
          <t xml:space="preserve">.5 | .45 | .05 </t>
        </is>
      </c>
    </row>
    <row r="54" ht="30" customHeight="1">
      <c r="A54" s="2" t="inlineStr">
        <is>
          <t>DISH-010</t>
        </is>
      </c>
      <c r="B54" s="24" t="n">
        <v>17.99</v>
      </c>
      <c r="C54" s="2" t="inlineStr">
        <is>
          <t>ING-076 | ING-110 | ING-140</t>
        </is>
      </c>
      <c r="D54" t="inlineStr">
        <is>
          <t>.5 | .45 | .05</t>
        </is>
      </c>
    </row>
    <row r="55">
      <c r="A55" s="2" t="inlineStr">
        <is>
          <t>DISH-043</t>
        </is>
      </c>
      <c r="B55" s="24" t="n">
        <v>4.99</v>
      </c>
      <c r="C55" t="inlineStr">
        <is>
          <t>ING-178</t>
        </is>
      </c>
      <c r="D55" t="n">
        <v>1</v>
      </c>
    </row>
    <row r="56" ht="30" customHeight="1">
      <c r="A56" s="2" t="inlineStr">
        <is>
          <t>DISH-099</t>
        </is>
      </c>
      <c r="B56" s="24" t="n">
        <v>4.99</v>
      </c>
      <c r="C56" s="2" t="inlineStr">
        <is>
          <t>ING-163 | ING-019 | ING-138</t>
        </is>
      </c>
      <c r="D56" t="inlineStr">
        <is>
          <t>.6 | .35 | .05</t>
        </is>
      </c>
    </row>
    <row r="57">
      <c r="A57" s="2" t="inlineStr">
        <is>
          <t>DISH-041</t>
        </is>
      </c>
      <c r="B57" s="24" t="n">
        <v>3.99</v>
      </c>
      <c r="C57" t="inlineStr">
        <is>
          <t>ING-031 | ING-166</t>
        </is>
      </c>
      <c r="D57" t="inlineStr">
        <is>
          <t>.9 | .1</t>
        </is>
      </c>
    </row>
    <row r="58">
      <c r="A58" s="2" t="inlineStr">
        <is>
          <t>DISH-034</t>
        </is>
      </c>
      <c r="B58" s="24" t="n">
        <v>11.99</v>
      </c>
      <c r="C58" t="inlineStr">
        <is>
          <t>ING-145 | ING-166</t>
        </is>
      </c>
      <c r="D58" t="inlineStr">
        <is>
          <t>.95 | .05</t>
        </is>
      </c>
    </row>
    <row r="59">
      <c r="A59" s="2" t="inlineStr">
        <is>
          <t>DISH-048</t>
        </is>
      </c>
      <c r="B59" s="24" t="n">
        <v>14.99</v>
      </c>
      <c r="C59" t="inlineStr">
        <is>
          <t>ING-008 | ING-154</t>
        </is>
      </c>
      <c r="D59" t="inlineStr">
        <is>
          <t>.85 | .15</t>
        </is>
      </c>
    </row>
    <row r="60">
      <c r="A60" s="2" t="inlineStr">
        <is>
          <t>DISH-110</t>
        </is>
      </c>
      <c r="B60" s="24" t="n">
        <v>15.99</v>
      </c>
      <c r="C60" t="inlineStr">
        <is>
          <t>ING-137 | ING-154</t>
        </is>
      </c>
      <c r="D60" t="inlineStr">
        <is>
          <t>.85 | .15</t>
        </is>
      </c>
    </row>
    <row r="61">
      <c r="A61" s="2" t="inlineStr">
        <is>
          <t>DISH-006</t>
        </is>
      </c>
      <c r="B61" s="24" t="n">
        <v>15.99</v>
      </c>
      <c r="C61" t="inlineStr">
        <is>
          <t>ING-055 | ING-168</t>
        </is>
      </c>
      <c r="D61" t="inlineStr">
        <is>
          <t>.85 | .15</t>
        </is>
      </c>
    </row>
    <row r="62" ht="30" customHeight="1">
      <c r="A62" s="2" t="inlineStr">
        <is>
          <t>DISH-046</t>
        </is>
      </c>
      <c r="B62" s="24" t="n">
        <v>16.99</v>
      </c>
      <c r="C62" s="2" t="inlineStr">
        <is>
          <t>ING-169 | ING-023 | ING-039</t>
        </is>
      </c>
      <c r="D62" t="inlineStr">
        <is>
          <t>.33 | .33 | .34</t>
        </is>
      </c>
    </row>
    <row r="63" ht="30" customHeight="1">
      <c r="A63" s="2" t="inlineStr">
        <is>
          <t>DISH-060</t>
        </is>
      </c>
      <c r="B63" s="24" t="n">
        <v>14.99</v>
      </c>
      <c r="C63" s="2" t="inlineStr">
        <is>
          <t>ING-169 | ING-023 | ING-091</t>
        </is>
      </c>
      <c r="D63" t="inlineStr">
        <is>
          <t>.33 | .33 | .34</t>
        </is>
      </c>
    </row>
    <row r="64" ht="30" customHeight="1">
      <c r="A64" s="2" t="inlineStr">
        <is>
          <t>DISH-003</t>
        </is>
      </c>
      <c r="B64" s="24" t="n">
        <v>13.99</v>
      </c>
      <c r="C64" s="2" t="inlineStr">
        <is>
          <t>ING-085 | ING-002</t>
        </is>
      </c>
      <c r="D64" t="inlineStr">
        <is>
          <t>.65 | .35</t>
        </is>
      </c>
    </row>
    <row r="65" ht="30" customHeight="1">
      <c r="A65" s="2" t="inlineStr">
        <is>
          <t>DISH-030</t>
        </is>
      </c>
      <c r="B65" s="24" t="n">
        <v>12.99</v>
      </c>
      <c r="C65" s="5" t="inlineStr">
        <is>
          <t>ING-085 | ING-093</t>
        </is>
      </c>
      <c r="D65" t="inlineStr">
        <is>
          <t>.65 | .35</t>
        </is>
      </c>
    </row>
    <row r="66">
      <c r="A66" s="2" t="inlineStr">
        <is>
          <t>DISH-015</t>
        </is>
      </c>
      <c r="B66" s="24" t="n">
        <v>14.99</v>
      </c>
      <c r="C66" s="4" t="inlineStr">
        <is>
          <t>ING-085 | ING-115</t>
        </is>
      </c>
      <c r="D66" t="inlineStr">
        <is>
          <t>.65 | .35</t>
        </is>
      </c>
    </row>
    <row r="67">
      <c r="A67" s="2" t="inlineStr">
        <is>
          <t>DISH-080</t>
        </is>
      </c>
      <c r="B67" s="24" t="n">
        <v>9.99</v>
      </c>
      <c r="C67" t="inlineStr">
        <is>
          <t>ING-158 | ING-166</t>
        </is>
      </c>
      <c r="D67" t="inlineStr">
        <is>
          <t>.95 | .05</t>
        </is>
      </c>
    </row>
    <row r="68" ht="30" customHeight="1">
      <c r="A68" s="2" t="inlineStr">
        <is>
          <t>DISH-116</t>
        </is>
      </c>
      <c r="B68" s="24" t="n">
        <v>15.99</v>
      </c>
      <c r="C68" s="2" t="inlineStr">
        <is>
          <t>ING-169 | ING-006</t>
        </is>
      </c>
      <c r="D68" t="inlineStr">
        <is>
          <t>.3 | .7</t>
        </is>
      </c>
    </row>
    <row r="69" ht="30" customHeight="1">
      <c r="A69" s="2" t="inlineStr">
        <is>
          <t>DISH-084</t>
        </is>
      </c>
      <c r="B69" s="24" t="n">
        <v>15.99</v>
      </c>
      <c r="C69" s="2" t="inlineStr">
        <is>
          <t>ING-123 | ING-006 | ING-057</t>
        </is>
      </c>
      <c r="D69" t="inlineStr">
        <is>
          <t>.3 | .5 | .2</t>
        </is>
      </c>
    </row>
    <row r="70">
      <c r="A70" s="2" t="inlineStr">
        <is>
          <t>DISH-071</t>
        </is>
      </c>
      <c r="B70" s="24" t="n">
        <v>13.99</v>
      </c>
      <c r="C70" t="inlineStr">
        <is>
          <t>ING-024 | ING-002</t>
        </is>
      </c>
      <c r="D70" t="inlineStr">
        <is>
          <t>.65 | .35</t>
        </is>
      </c>
    </row>
    <row r="71">
      <c r="A71" s="2" t="inlineStr">
        <is>
          <t>DISH-125</t>
        </is>
      </c>
      <c r="B71" s="24" t="n">
        <v>27.99</v>
      </c>
      <c r="C71" t="inlineStr">
        <is>
          <t>ING-010 | ING-166</t>
        </is>
      </c>
      <c r="D71" t="inlineStr">
        <is>
          <t>.93 | .07</t>
        </is>
      </c>
    </row>
    <row r="72">
      <c r="A72" s="2" t="inlineStr">
        <is>
          <t>DISH-049</t>
        </is>
      </c>
      <c r="B72" s="24" t="n">
        <v>7.99</v>
      </c>
      <c r="C72" t="inlineStr">
        <is>
          <t>ING-148 | ING-155</t>
        </is>
      </c>
      <c r="D72" t="inlineStr">
        <is>
          <t>.75 | .25</t>
        </is>
      </c>
    </row>
    <row r="73">
      <c r="A73" s="2" t="inlineStr">
        <is>
          <t>DISH-106</t>
        </is>
      </c>
      <c r="B73" s="24" t="n">
        <v>13.99</v>
      </c>
      <c r="C73" t="inlineStr">
        <is>
          <t>ING-058 | ING-066 | ING-140</t>
        </is>
      </c>
      <c r="D73" t="inlineStr">
        <is>
          <t>0.5 | .45 | .05</t>
        </is>
      </c>
    </row>
    <row r="74" ht="30" customHeight="1">
      <c r="A74" s="2" t="inlineStr">
        <is>
          <t>DISH-013</t>
        </is>
      </c>
      <c r="B74" s="24" t="n">
        <v>15.99</v>
      </c>
      <c r="C74" s="2" t="inlineStr">
        <is>
          <t>ING-058 | ING-089 | ING-140</t>
        </is>
      </c>
      <c r="D74" t="inlineStr">
        <is>
          <t>0.5 | .45 | .05</t>
        </is>
      </c>
    </row>
    <row r="75" ht="30" customHeight="1">
      <c r="A75" s="2" t="inlineStr">
        <is>
          <t>DISH-040</t>
        </is>
      </c>
      <c r="B75" s="24" t="n">
        <v>16.99</v>
      </c>
      <c r="C75" s="2" t="inlineStr">
        <is>
          <t>ING-058 | ING-110 | ING-140</t>
        </is>
      </c>
      <c r="D75" t="inlineStr">
        <is>
          <t>0.5 | .45 | .05</t>
        </is>
      </c>
    </row>
    <row r="76" ht="30" customHeight="1">
      <c r="A76" s="2" t="inlineStr">
        <is>
          <t>DISH-024</t>
        </is>
      </c>
      <c r="B76" s="24" t="n">
        <v>14.99</v>
      </c>
      <c r="C76" s="2" t="inlineStr">
        <is>
          <t>ING-058 | ING-115 | ING-140</t>
        </is>
      </c>
      <c r="D76" t="inlineStr">
        <is>
          <t>0.5 | .45 | .05</t>
        </is>
      </c>
    </row>
    <row r="77" ht="30" customHeight="1">
      <c r="A77" s="2" t="inlineStr">
        <is>
          <t>DISH-026</t>
        </is>
      </c>
      <c r="B77" s="24" t="n">
        <v>14.99</v>
      </c>
      <c r="C77" s="2" t="inlineStr">
        <is>
          <t>ING-090 | ING-066 | ING-035 | ING-165</t>
        </is>
      </c>
      <c r="D77" t="inlineStr">
        <is>
          <t>.425 | .425 |.05 | .1</t>
        </is>
      </c>
    </row>
    <row r="78" ht="30" customHeight="1">
      <c r="A78" s="2" t="inlineStr">
        <is>
          <t>DISH-105</t>
        </is>
      </c>
      <c r="B78" s="24" t="n">
        <v>14.99</v>
      </c>
      <c r="C78" s="2" t="inlineStr">
        <is>
          <t>ING-090 | ING-089 | ING-035 | ING-165</t>
        </is>
      </c>
      <c r="D78" t="inlineStr">
        <is>
          <t>.425 | .425 |.05 | .1</t>
        </is>
      </c>
    </row>
    <row r="79" ht="30" customHeight="1">
      <c r="A79" s="2" t="inlineStr">
        <is>
          <t>DISH-062</t>
        </is>
      </c>
      <c r="B79" s="24" t="n">
        <v>15.99</v>
      </c>
      <c r="C79" s="2" t="inlineStr">
        <is>
          <t>ING-090 | ING-115 | ING-035 | ING-165</t>
        </is>
      </c>
      <c r="D79" t="inlineStr">
        <is>
          <t>.425 | .425 |.05 | .1</t>
        </is>
      </c>
    </row>
    <row r="80" ht="30" customHeight="1">
      <c r="A80" s="2" t="inlineStr">
        <is>
          <t>DISH-050</t>
        </is>
      </c>
      <c r="B80" s="24" t="n">
        <v>16.99</v>
      </c>
      <c r="C80" s="2" t="inlineStr">
        <is>
          <t>ING-071 | ING-096 | ING-017</t>
        </is>
      </c>
      <c r="D80" t="inlineStr">
        <is>
          <t>.5 | .45| .05</t>
        </is>
      </c>
    </row>
    <row r="81" ht="30" customHeight="1">
      <c r="A81" s="2" t="inlineStr">
        <is>
          <t>DISH-044</t>
        </is>
      </c>
      <c r="B81" s="24" t="n">
        <v>22.99</v>
      </c>
      <c r="C81" s="2" t="inlineStr">
        <is>
          <t>ING-030 | ING-096 | ING-017</t>
        </is>
      </c>
      <c r="D81" t="inlineStr">
        <is>
          <t xml:space="preserve">.5 | .45 | .05 </t>
        </is>
      </c>
    </row>
    <row r="82" ht="30" customHeight="1">
      <c r="A82" s="2" t="inlineStr">
        <is>
          <t>DISH-065</t>
        </is>
      </c>
      <c r="B82" s="24" t="n">
        <v>15.99</v>
      </c>
      <c r="C82" s="2" t="inlineStr">
        <is>
          <t>ING-075 | ING-087 | ING-167</t>
        </is>
      </c>
      <c r="D82" t="inlineStr">
        <is>
          <t>.45 | .55 | 0</t>
        </is>
      </c>
    </row>
    <row r="83">
      <c r="A83" s="2" t="inlineStr">
        <is>
          <t>DISH-014</t>
        </is>
      </c>
      <c r="B83" s="24" t="n">
        <v>8.99</v>
      </c>
      <c r="C83" t="inlineStr">
        <is>
          <t>ING-075 | ING-047</t>
        </is>
      </c>
      <c r="D83" t="inlineStr">
        <is>
          <t>.45 | .55</t>
        </is>
      </c>
    </row>
    <row r="84">
      <c r="A84" s="2" t="inlineStr">
        <is>
          <t>DISH-088</t>
        </is>
      </c>
      <c r="B84" s="24" t="n">
        <v>11.99</v>
      </c>
      <c r="C84" t="inlineStr">
        <is>
          <t>ING-009 | ING-166</t>
        </is>
      </c>
      <c r="D84" t="inlineStr">
        <is>
          <t>.9 | .1</t>
        </is>
      </c>
    </row>
    <row r="85">
      <c r="A85" s="2" t="inlineStr">
        <is>
          <t>DISH-072</t>
        </is>
      </c>
      <c r="B85" s="24" t="n">
        <v>5.99</v>
      </c>
      <c r="C85" t="inlineStr">
        <is>
          <t>ING-044 | ING-064</t>
        </is>
      </c>
      <c r="D85" t="inlineStr">
        <is>
          <t>1 | 0</t>
        </is>
      </c>
    </row>
    <row r="86">
      <c r="A86" s="2" t="inlineStr">
        <is>
          <t>DISH-075</t>
        </is>
      </c>
      <c r="B86" s="24" t="n">
        <v>7.99</v>
      </c>
      <c r="C86" t="inlineStr">
        <is>
          <t>ING-029 | ING-097</t>
        </is>
      </c>
      <c r="D86" t="inlineStr">
        <is>
          <t>0.875 | .125</t>
        </is>
      </c>
    </row>
    <row r="87" ht="30" customHeight="1">
      <c r="A87" s="2" t="inlineStr">
        <is>
          <t>DISH-002</t>
        </is>
      </c>
      <c r="B87" s="24" t="n">
        <v>7.99</v>
      </c>
      <c r="C87" s="2" t="inlineStr">
        <is>
          <t>ING-016 | ING-083 | ING-082</t>
        </is>
      </c>
      <c r="D87" t="inlineStr">
        <is>
          <t>.6 | .4 | 0</t>
        </is>
      </c>
    </row>
    <row r="88">
      <c r="A88" s="2" t="inlineStr">
        <is>
          <t>DISH-107</t>
        </is>
      </c>
      <c r="B88" s="24" t="n">
        <v>19.99</v>
      </c>
      <c r="C88" t="inlineStr">
        <is>
          <t>ING-159 | ING-166</t>
        </is>
      </c>
      <c r="D88" t="inlineStr">
        <is>
          <t>.975 | .025</t>
        </is>
      </c>
    </row>
    <row r="89" ht="45" customHeight="1">
      <c r="A89" s="2" t="inlineStr">
        <is>
          <t>DISH-076</t>
        </is>
      </c>
      <c r="B89" s="24" t="n">
        <v>20.99</v>
      </c>
      <c r="C89" s="2" t="inlineStr">
        <is>
          <t>ING-131 | ING-087 | ING-162 | ING-173</t>
        </is>
      </c>
      <c r="D89" t="inlineStr">
        <is>
          <t>.6 | .2 | .1 | .1</t>
        </is>
      </c>
    </row>
    <row r="90">
      <c r="A90" s="2" t="inlineStr">
        <is>
          <t>DISH-096</t>
        </is>
      </c>
      <c r="B90" s="24" t="n">
        <v>16.99</v>
      </c>
      <c r="C90" t="inlineStr">
        <is>
          <t>ING-054 | ING-040</t>
        </is>
      </c>
      <c r="D90" t="inlineStr">
        <is>
          <t>.93 | .07</t>
        </is>
      </c>
    </row>
    <row r="91">
      <c r="A91" s="2" t="inlineStr">
        <is>
          <t>DISH-033</t>
        </is>
      </c>
      <c r="B91" s="24" t="n">
        <v>17.99</v>
      </c>
      <c r="C91" t="inlineStr">
        <is>
          <t>ING-172 | ING-041</t>
        </is>
      </c>
      <c r="D91" t="inlineStr">
        <is>
          <t>.87 | .13</t>
        </is>
      </c>
    </row>
    <row r="92" ht="30" customHeight="1">
      <c r="A92" s="2" t="inlineStr">
        <is>
          <t>DISH-032</t>
        </is>
      </c>
      <c r="B92" s="24" t="n">
        <v>7.99</v>
      </c>
      <c r="C92" s="2" t="inlineStr">
        <is>
          <t>ING-135 | ING-041 | ING-124 | ING-173</t>
        </is>
      </c>
      <c r="D92" t="inlineStr">
        <is>
          <t>.55 | .3 | .03 | .12</t>
        </is>
      </c>
    </row>
    <row r="93">
      <c r="A93" s="2" t="inlineStr">
        <is>
          <t>DISH-092</t>
        </is>
      </c>
      <c r="B93" s="24" t="n">
        <v>5.99</v>
      </c>
      <c r="C93" t="inlineStr">
        <is>
          <t>ING-044 | ING-146</t>
        </is>
      </c>
      <c r="D93" t="inlineStr">
        <is>
          <t>.9 | .1</t>
        </is>
      </c>
    </row>
    <row r="94">
      <c r="A94" s="2" t="inlineStr">
        <is>
          <t>DISH-052</t>
        </is>
      </c>
      <c r="B94" s="24" t="n">
        <v>17.99</v>
      </c>
      <c r="C94" t="inlineStr">
        <is>
          <t>ING-067</t>
        </is>
      </c>
      <c r="D94" t="n">
        <v>1</v>
      </c>
    </row>
    <row r="95">
      <c r="A95" s="2" t="inlineStr">
        <is>
          <t>DISH-045</t>
        </is>
      </c>
      <c r="B95" s="24" t="n">
        <v>23.99</v>
      </c>
      <c r="C95" t="inlineStr">
        <is>
          <t>ING-061 | ING-051</t>
        </is>
      </c>
      <c r="D95" t="inlineStr">
        <is>
          <t>.7 | .3</t>
        </is>
      </c>
    </row>
    <row r="96">
      <c r="A96" s="2" t="inlineStr">
        <is>
          <t>DISH-123</t>
        </is>
      </c>
      <c r="B96" s="24" t="n">
        <v>5.99</v>
      </c>
      <c r="C96" t="inlineStr">
        <is>
          <t>ING-007 | ING-099</t>
        </is>
      </c>
      <c r="D96" t="inlineStr">
        <is>
          <t>.7 | .3</t>
        </is>
      </c>
    </row>
    <row r="97">
      <c r="A97" s="2" t="inlineStr">
        <is>
          <t>DISH-073</t>
        </is>
      </c>
      <c r="B97" s="24" t="n">
        <v>5.99</v>
      </c>
      <c r="C97" t="inlineStr">
        <is>
          <t>ING-156</t>
        </is>
      </c>
      <c r="D97" t="n">
        <v>1</v>
      </c>
    </row>
    <row r="98">
      <c r="A98" s="2" t="inlineStr">
        <is>
          <t>DISH-061</t>
        </is>
      </c>
      <c r="B98" s="24" t="n">
        <v>21.99</v>
      </c>
      <c r="C98" t="inlineStr">
        <is>
          <t>ING-142 | ING-003</t>
        </is>
      </c>
      <c r="D98" t="inlineStr">
        <is>
          <t>.75 | .25</t>
        </is>
      </c>
    </row>
    <row r="99" ht="30" customHeight="1">
      <c r="A99" s="2" t="inlineStr">
        <is>
          <t>DISH-097</t>
        </is>
      </c>
      <c r="B99" s="24" t="n">
        <v>14.99</v>
      </c>
      <c r="C99" s="2" t="inlineStr">
        <is>
          <t>ING-038 | ING-035 | ING-043</t>
        </is>
      </c>
      <c r="D99" t="inlineStr">
        <is>
          <t>.35 | .15 | .5</t>
        </is>
      </c>
    </row>
    <row r="100" ht="30" customHeight="1">
      <c r="A100" s="2" t="inlineStr">
        <is>
          <t>DISH-008</t>
        </is>
      </c>
      <c r="B100" s="24" t="n">
        <v>9.99</v>
      </c>
      <c r="C100" s="2" t="inlineStr">
        <is>
          <t>ING-074 | ING-027 | ING-118</t>
        </is>
      </c>
      <c r="D100" t="inlineStr">
        <is>
          <t xml:space="preserve">.7 | .1 | .2 </t>
        </is>
      </c>
    </row>
    <row r="101" ht="30" customHeight="1">
      <c r="A101" s="2" t="inlineStr">
        <is>
          <t>DISH-087</t>
        </is>
      </c>
      <c r="B101" s="24" t="n">
        <v>15.99</v>
      </c>
      <c r="C101" s="2" t="inlineStr">
        <is>
          <t>ING-107 | ING-077 | ING-052</t>
        </is>
      </c>
      <c r="D101" t="inlineStr">
        <is>
          <t>.65 | .2 | .15</t>
        </is>
      </c>
    </row>
    <row r="102">
      <c r="A102" s="2" t="inlineStr">
        <is>
          <t>DISH-091</t>
        </is>
      </c>
      <c r="B102" s="24" t="n">
        <v>6.99</v>
      </c>
      <c r="C102" t="inlineStr">
        <is>
          <t>ING-114 | ING-037</t>
        </is>
      </c>
      <c r="D102" t="inlineStr">
        <is>
          <t>.65 | .35</t>
        </is>
      </c>
    </row>
    <row r="103">
      <c r="A103" s="2" t="inlineStr">
        <is>
          <t>DISH-074</t>
        </is>
      </c>
      <c r="B103" s="24" t="n">
        <v>5.99</v>
      </c>
      <c r="C103" t="inlineStr">
        <is>
          <t>ING-113 | ING-183</t>
        </is>
      </c>
      <c r="D103" t="inlineStr">
        <is>
          <t>.95 | .05</t>
        </is>
      </c>
    </row>
    <row r="104">
      <c r="A104" s="2" t="inlineStr">
        <is>
          <t>DISH-035</t>
        </is>
      </c>
      <c r="B104" s="24" t="n">
        <v>10.99</v>
      </c>
      <c r="C104" t="inlineStr">
        <is>
          <t>ING-176 | ING-155</t>
        </is>
      </c>
      <c r="D104" t="inlineStr">
        <is>
          <t>.7 | .3</t>
        </is>
      </c>
    </row>
    <row r="105" ht="30" customHeight="1">
      <c r="A105" s="2" t="inlineStr">
        <is>
          <t>DISH-085</t>
        </is>
      </c>
      <c r="B105" s="24" t="n">
        <v>8.99</v>
      </c>
      <c r="C105" s="2" t="inlineStr">
        <is>
          <t>ING-139 | ING-014</t>
        </is>
      </c>
      <c r="D105" t="inlineStr">
        <is>
          <t>.5 | .5</t>
        </is>
      </c>
    </row>
    <row r="106" ht="30" customHeight="1">
      <c r="A106" s="2" t="inlineStr">
        <is>
          <t>DISH-122</t>
        </is>
      </c>
      <c r="B106" s="24" t="n">
        <v>21.99</v>
      </c>
      <c r="C106" s="2" t="inlineStr">
        <is>
          <t>ING-135 | ING-127 | ING-173</t>
        </is>
      </c>
      <c r="D106" t="inlineStr">
        <is>
          <t>.5 | .4 | .1</t>
        </is>
      </c>
    </row>
    <row r="107">
      <c r="A107" s="2" t="inlineStr">
        <is>
          <t>DISH-021</t>
        </is>
      </c>
      <c r="B107" s="24" t="n">
        <v>18.99</v>
      </c>
      <c r="C107" t="inlineStr">
        <is>
          <t>ING-015 | ING-070</t>
        </is>
      </c>
      <c r="D107" t="inlineStr">
        <is>
          <t>0.8 | .2</t>
        </is>
      </c>
    </row>
    <row r="108">
      <c r="A108" s="2" t="inlineStr">
        <is>
          <t>DISH-119</t>
        </is>
      </c>
      <c r="B108" s="24" t="n">
        <v>4.99</v>
      </c>
      <c r="C108" t="inlineStr">
        <is>
          <t>ING-100 | ING-138</t>
        </is>
      </c>
      <c r="D108" t="inlineStr">
        <is>
          <t>.85 | .15</t>
        </is>
      </c>
    </row>
    <row r="109">
      <c r="A109" s="2" t="inlineStr">
        <is>
          <t>DISH-078</t>
        </is>
      </c>
      <c r="B109" s="24" t="n">
        <v>5.99</v>
      </c>
      <c r="C109" t="inlineStr">
        <is>
          <t>ING-106 | ING-138</t>
        </is>
      </c>
      <c r="D109" t="inlineStr">
        <is>
          <t>.9 | .1</t>
        </is>
      </c>
    </row>
    <row r="110">
      <c r="A110" s="2" t="inlineStr">
        <is>
          <t>DISH-027</t>
        </is>
      </c>
      <c r="B110" s="24" t="n">
        <v>4.99</v>
      </c>
      <c r="C110" t="inlineStr">
        <is>
          <t>ING-149 | ING-166</t>
        </is>
      </c>
      <c r="D110" t="inlineStr">
        <is>
          <t>.9 | .1</t>
        </is>
      </c>
    </row>
    <row r="111" ht="30" customHeight="1">
      <c r="A111" s="2" t="inlineStr">
        <is>
          <t>DISH-094</t>
        </is>
      </c>
      <c r="B111" s="24" t="n">
        <v>16.99</v>
      </c>
      <c r="C111" s="2" t="inlineStr">
        <is>
          <t>ING-123 | ING-091 | ING-057</t>
        </is>
      </c>
      <c r="D111" t="inlineStr">
        <is>
          <t>.3 | .5 | .2</t>
        </is>
      </c>
    </row>
    <row r="112" ht="30" customHeight="1">
      <c r="A112" s="2" t="inlineStr">
        <is>
          <t>DISH-005</t>
        </is>
      </c>
      <c r="B112" s="24" t="n">
        <v>17.99</v>
      </c>
      <c r="C112" s="2" t="inlineStr">
        <is>
          <t>ING-063 | ING-003</t>
        </is>
      </c>
      <c r="D112" t="inlineStr">
        <is>
          <t>.55 | .45</t>
        </is>
      </c>
    </row>
    <row r="113">
      <c r="A113" s="2" t="inlineStr">
        <is>
          <t>DISH-004</t>
        </is>
      </c>
      <c r="B113" s="24" t="n">
        <v>5.99</v>
      </c>
      <c r="C113" t="inlineStr">
        <is>
          <t>ING-141 | ING-166</t>
        </is>
      </c>
      <c r="D113" t="inlineStr">
        <is>
          <t>0.8 | .2</t>
        </is>
      </c>
    </row>
    <row r="114" ht="30" customHeight="1">
      <c r="A114" s="2" t="inlineStr">
        <is>
          <t>DISH-067</t>
        </is>
      </c>
      <c r="B114" s="24" t="n">
        <v>7.99</v>
      </c>
      <c r="C114" t="inlineStr">
        <is>
          <t>ING-141 | ING-166</t>
        </is>
      </c>
      <c r="D114" t="inlineStr">
        <is>
          <t>.8 | .2</t>
        </is>
      </c>
    </row>
    <row r="115">
      <c r="A115" s="2" t="inlineStr">
        <is>
          <t>DISH-077</t>
        </is>
      </c>
      <c r="B115" s="24" t="n">
        <v>18.99</v>
      </c>
      <c r="C115" t="inlineStr">
        <is>
          <t>ING-062 | ING-003</t>
        </is>
      </c>
      <c r="D115" t="inlineStr">
        <is>
          <t>.75 | .25</t>
        </is>
      </c>
    </row>
    <row r="116">
      <c r="A116" s="2" t="inlineStr">
        <is>
          <t>DISH-090</t>
        </is>
      </c>
      <c r="B116" s="24" t="n">
        <v>14.99</v>
      </c>
      <c r="C116" t="inlineStr">
        <is>
          <t>ING-054 | ING-102</t>
        </is>
      </c>
      <c r="D116" t="inlineStr">
        <is>
          <t>.93 | .07</t>
        </is>
      </c>
    </row>
    <row r="117">
      <c r="A117" s="2" t="inlineStr">
        <is>
          <t>DISH-028</t>
        </is>
      </c>
      <c r="B117" s="24" t="n">
        <v>12.99</v>
      </c>
      <c r="C117" t="inlineStr">
        <is>
          <t>ING-109 | ING-042</t>
        </is>
      </c>
      <c r="D117" t="inlineStr">
        <is>
          <t>.96 | .04</t>
        </is>
      </c>
    </row>
    <row r="118" ht="30" customHeight="1">
      <c r="A118" s="2" t="inlineStr">
        <is>
          <t>DISH-118</t>
        </is>
      </c>
      <c r="B118" s="24" t="n">
        <v>11.99</v>
      </c>
      <c r="C118" s="2" t="inlineStr">
        <is>
          <t>ING-109 | ING-073 | ING-080</t>
        </is>
      </c>
      <c r="D118" t="inlineStr">
        <is>
          <t>.96 | .02 | .02</t>
        </is>
      </c>
    </row>
    <row r="119">
      <c r="A119" s="2" t="inlineStr">
        <is>
          <t>DISH-111</t>
        </is>
      </c>
      <c r="B119" s="24" t="n">
        <v>14.99</v>
      </c>
      <c r="C119" t="inlineStr">
        <is>
          <t>ING-174 | ING-173</t>
        </is>
      </c>
      <c r="D119" t="inlineStr">
        <is>
          <t>.9 | .1</t>
        </is>
      </c>
    </row>
    <row r="120">
      <c r="A120" s="2" t="inlineStr">
        <is>
          <t>DISH-126</t>
        </is>
      </c>
      <c r="B120" s="24" t="n">
        <v>6.99</v>
      </c>
      <c r="C120" t="inlineStr">
        <is>
          <t>ING-160</t>
        </is>
      </c>
      <c r="D120" t="n">
        <v>1</v>
      </c>
    </row>
    <row r="121">
      <c r="A121" s="2" t="inlineStr">
        <is>
          <t>DISH-066</t>
        </is>
      </c>
      <c r="B121" s="24" t="n">
        <v>17.99</v>
      </c>
      <c r="C121" t="inlineStr">
        <is>
          <t>ING-005 | ING-003</t>
        </is>
      </c>
      <c r="D121" t="inlineStr">
        <is>
          <t>0.7 | .3</t>
        </is>
      </c>
    </row>
    <row r="122">
      <c r="A122" s="2" t="inlineStr">
        <is>
          <t>DISH-068</t>
        </is>
      </c>
      <c r="B122" s="24" t="n">
        <v>8.99</v>
      </c>
      <c r="C122" t="inlineStr">
        <is>
          <t>ING-151 | ING-161</t>
        </is>
      </c>
      <c r="D122" t="inlineStr">
        <is>
          <t>0.6 | .4</t>
        </is>
      </c>
    </row>
    <row r="123">
      <c r="A123" s="2" t="inlineStr">
        <is>
          <t>DISH-064</t>
        </is>
      </c>
      <c r="B123" s="24" t="n">
        <v>6.99</v>
      </c>
      <c r="C123" t="inlineStr">
        <is>
          <t>ING-136 | ING-170</t>
        </is>
      </c>
      <c r="D123" t="inlineStr">
        <is>
          <t>.9 | .1</t>
        </is>
      </c>
    </row>
    <row r="124">
      <c r="A124" s="2" t="inlineStr">
        <is>
          <t>DISH-124</t>
        </is>
      </c>
      <c r="B124" s="24" t="n">
        <v>5.99</v>
      </c>
      <c r="C124" t="inlineStr">
        <is>
          <t>ING-136 | ING-175</t>
        </is>
      </c>
      <c r="D124" t="inlineStr">
        <is>
          <t>1 | 0</t>
        </is>
      </c>
    </row>
    <row r="125" ht="30" customHeight="1">
      <c r="A125" s="2" t="inlineStr">
        <is>
          <t>DISH-117</t>
        </is>
      </c>
      <c r="B125" s="24" t="n">
        <v>12.99</v>
      </c>
      <c r="C125" s="2" t="inlineStr">
        <is>
          <t>ING-032 | ING-103</t>
        </is>
      </c>
      <c r="D125" t="inlineStr">
        <is>
          <t>.75 | .25</t>
        </is>
      </c>
    </row>
    <row r="126">
      <c r="A126" s="2" t="inlineStr">
        <is>
          <t>DISH-047</t>
        </is>
      </c>
      <c r="B126" s="24" t="n">
        <v>18.99</v>
      </c>
      <c r="C126" t="inlineStr">
        <is>
          <t>ING-072 | ING-003</t>
        </is>
      </c>
      <c r="D126" t="inlineStr">
        <is>
          <t>.7 | .3</t>
        </is>
      </c>
    </row>
    <row r="127">
      <c r="A127" s="2" t="inlineStr">
        <is>
          <t>DISH-112</t>
        </is>
      </c>
      <c r="B127" s="24" t="n">
        <v>3.99</v>
      </c>
      <c r="C127" t="inlineStr">
        <is>
          <t>ING-112 | ING-022 | ING-166</t>
        </is>
      </c>
      <c r="D127" t="inlineStr">
        <is>
          <t>.4375 | .4375 | .125</t>
        </is>
      </c>
    </row>
    <row r="128">
      <c r="A128" s="2" t="inlineStr">
        <is>
          <t>DISH-029</t>
        </is>
      </c>
      <c r="B128" s="24" t="n">
        <v>10.99</v>
      </c>
      <c r="C128" t="inlineStr">
        <is>
          <t>ING-177 | ING-020</t>
        </is>
      </c>
      <c r="D128" t="inlineStr">
        <is>
          <t>.7 | .3</t>
        </is>
      </c>
    </row>
    <row r="129">
      <c r="A129" s="2" t="inlineStr">
        <is>
          <t>DISH-086</t>
        </is>
      </c>
      <c r="B129" s="24" t="n">
        <v>4.99</v>
      </c>
      <c r="C129" t="inlineStr">
        <is>
          <t>ING-044</t>
        </is>
      </c>
      <c r="D129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A14" workbookViewId="0">
      <selection activeCell="B16" sqref="B16"/>
    </sheetView>
  </sheetViews>
  <sheetFormatPr baseColWidth="8" defaultRowHeight="15"/>
  <cols>
    <col width="29.5703125" customWidth="1" min="1" max="1"/>
    <col width="36.5703125" bestFit="1" customWidth="1" min="2" max="2"/>
    <col width="34.42578125" bestFit="1" customWidth="1" min="3" max="3"/>
    <col width="11.28515625" bestFit="1" customWidth="1" min="4" max="4"/>
    <col width="12.28515625" bestFit="1" customWidth="1" min="5" max="5"/>
    <col width="13.140625" bestFit="1" customWidth="1" min="6" max="6"/>
  </cols>
  <sheetData>
    <row r="1">
      <c r="A1" s="18" t="inlineStr">
        <is>
          <t>Data Log Key</t>
        </is>
      </c>
    </row>
    <row r="2">
      <c r="A2" t="inlineStr">
        <is>
          <t>Donatable?</t>
        </is>
      </c>
      <c r="B2" s="6" t="inlineStr">
        <is>
          <t>Yes</t>
        </is>
      </c>
      <c r="C2" s="7" t="inlineStr">
        <is>
          <t>No</t>
        </is>
      </c>
      <c r="D2" s="9" t="inlineStr">
        <is>
          <t>Maybe</t>
        </is>
      </c>
      <c r="E2" s="10" t="inlineStr">
        <is>
          <t>Weak Maybe</t>
        </is>
      </c>
      <c r="F2" s="12" t="inlineStr">
        <is>
          <t>Strong Maybe</t>
        </is>
      </c>
    </row>
    <row r="5">
      <c r="A5" s="18" t="inlineStr">
        <is>
          <t>PriceData Key</t>
        </is>
      </c>
    </row>
    <row r="6">
      <c r="A6" s="18" t="inlineStr">
        <is>
          <t>OBTAINING PRICE:</t>
        </is>
      </c>
    </row>
    <row r="7">
      <c r="A7" s="17" t="inlineStr">
        <is>
          <t>Method</t>
        </is>
      </c>
      <c r="B7" s="17" t="inlineStr">
        <is>
          <t>Description</t>
        </is>
      </c>
      <c r="C7" s="17" t="inlineStr">
        <is>
          <t>Used For Examples</t>
        </is>
      </c>
    </row>
    <row r="8" ht="60" customHeight="1">
      <c r="A8" s="2" t="inlineStr">
        <is>
          <t>Direct Menu Price</t>
        </is>
      </c>
      <c r="B8" s="2" t="inlineStr">
        <is>
          <t>Item is sold standalone (e.g. [REDACTED], soup), if in multiple items, weigthed average based on prevalency</t>
        </is>
      </c>
      <c r="C8" s="2" t="inlineStr">
        <is>
          <t>[REDACTED]</t>
        </is>
      </c>
    </row>
    <row r="9" ht="30" customHeight="1">
      <c r="A9" s="2" t="inlineStr">
        <is>
          <t>Menu Price Minus Known Add-ons</t>
        </is>
      </c>
      <c r="B9" s="2" t="inlineStr">
        <is>
          <t>Dish price minus other known component prices (sauce, rice, protein)</t>
        </is>
      </c>
      <c r="C9" s="2" t="inlineStr">
        <is>
          <t>[REDACTED]</t>
        </is>
      </c>
    </row>
    <row r="10" ht="45" customHeight="1">
      <c r="A10" s="2" t="inlineStr">
        <is>
          <t>Variant Price Comparison</t>
        </is>
      </c>
      <c r="B10" s="2" t="inlineStr">
        <is>
          <t>Comparing variants (e.g. price with/without cheese or accompaniments)</t>
        </is>
      </c>
      <c r="C10" s="2" t="inlineStr">
        <is>
          <t>[REDACTED], [REDACTED]</t>
        </is>
      </c>
    </row>
    <row r="11" ht="30" customHeight="1">
      <c r="A11" s="2" t="inlineStr">
        <is>
          <t>Standard Portion Attribution</t>
        </is>
      </c>
      <c r="B11" s="2" t="inlineStr">
        <is>
          <t>Assigning a % of dish price based on consistent build structure</t>
        </is>
      </c>
      <c r="C11" s="2" t="inlineStr">
        <is>
          <t>[REDACTED], Vodka Tortiglioni</t>
        </is>
      </c>
    </row>
    <row r="12" ht="45" customHeight="1">
      <c r="A12" s="2" t="inlineStr">
        <is>
          <t>Ingredient Cost Distribution</t>
        </is>
      </c>
      <c r="B12" s="2" t="inlineStr">
        <is>
          <t>Manual estimate based on relative ingredient role in dish (rare use)</t>
        </is>
      </c>
      <c r="C12" s="2" t="inlineStr">
        <is>
          <t>Used cautiously for insignificant items—flagged with lower confidence</t>
        </is>
      </c>
    </row>
    <row r="13">
      <c r="A13" s="18" t="n"/>
    </row>
    <row r="14" ht="63" customHeight="1">
      <c r="A14" s="18" t="inlineStr">
        <is>
          <t>PRICE CONFIDENCE:</t>
        </is>
      </c>
      <c r="B14" s="23" t="inlineStr">
        <is>
          <t>[DISCLAIMER]:                                      prices are generally on the conservative side for fear of inflating results</t>
        </is>
      </c>
    </row>
    <row r="15">
      <c r="A15" s="17" t="inlineStr">
        <is>
          <t>Rating</t>
        </is>
      </c>
      <c r="B15" s="17" t="inlineStr">
        <is>
          <t>Meaning</t>
        </is>
      </c>
      <c r="C15" s="17" t="inlineStr">
        <is>
          <t>When Used</t>
        </is>
      </c>
    </row>
    <row r="16" ht="45" customHeight="1">
      <c r="A16" s="2" t="n">
        <v>5</v>
      </c>
      <c r="B16" s="2" t="inlineStr">
        <is>
          <t>Exact or near-exact match to menu pricing; clear breakdown of all components</t>
        </is>
      </c>
      <c r="C16" s="2" t="inlineStr">
        <is>
          <t>Known menu price &amp; portion count; known sauce/protein/rice values</t>
        </is>
      </c>
    </row>
    <row r="17" ht="45" customHeight="1">
      <c r="A17" s="2" t="n">
        <v>4.5</v>
      </c>
      <c r="B17" s="2" t="inlineStr">
        <is>
          <t>Very confident; most values known, some minor elements estimated (e.g. garnish)</t>
        </is>
      </c>
      <c r="C17" s="2" t="inlineStr">
        <is>
          <t>Dishes with minor unknowns like sauce, herbs, or unknown drizzle weights</t>
        </is>
      </c>
    </row>
    <row r="18" ht="45" customHeight="1">
      <c r="A18" s="2" t="n">
        <v>4</v>
      </c>
      <c r="B18" s="2" t="inlineStr">
        <is>
          <t>Reasonable estimate based on consistent logic, but some uncertainty remains</t>
        </is>
      </c>
      <c r="C18" s="2" t="inlineStr">
        <is>
          <t>Multiple variable components; no clear itemized breakdown</t>
        </is>
      </c>
    </row>
    <row r="19" ht="45" customHeight="1">
      <c r="A19" s="2" t="n">
        <v>3</v>
      </c>
      <c r="B19" s="2" t="inlineStr">
        <is>
          <t>Rough estimate using average or assumed values; servings not itemized or weighed</t>
        </is>
      </c>
      <c r="C19" s="2" t="inlineStr">
        <is>
          <t>Legacy items, low-selling dishes, bundles without precise structure</t>
        </is>
      </c>
    </row>
    <row r="20" ht="30" customHeight="1">
      <c r="A20" s="2" t="inlineStr">
        <is>
          <t>1–2</t>
        </is>
      </c>
      <c r="B20" s="2" t="inlineStr">
        <is>
          <t>Guesswork or placeholder; no structured breakdown yet</t>
        </is>
      </c>
      <c r="C20" s="2" t="inlineStr">
        <is>
          <t>Avoided unless explicitly marked during scoping phase</t>
        </is>
      </c>
    </row>
    <row r="21">
      <c r="A21" s="18" t="n"/>
    </row>
    <row r="22">
      <c r="A22" s="16" t="inlineStr">
        <is>
          <t>Operational Role</t>
        </is>
      </c>
      <c r="B22" s="17" t="inlineStr">
        <is>
          <t>Meaning</t>
        </is>
      </c>
      <c r="C22" s="17" t="inlineStr">
        <is>
          <t>Examples</t>
        </is>
      </c>
      <c r="D22" s="17" t="n"/>
    </row>
    <row r="23" ht="30" customHeight="1">
      <c r="A23" s="2" t="inlineStr">
        <is>
          <t>Core Component</t>
        </is>
      </c>
      <c r="B23" s="2" t="inlineStr">
        <is>
          <t>Defines the identity of a menu item. If it’s missing, the item is OOS.</t>
        </is>
      </c>
      <c r="C23" s="2" t="inlineStr">
        <is>
          <t>[REDACTED]</t>
        </is>
      </c>
      <c r="D23" s="2" t="n"/>
    </row>
    <row r="24" ht="30" customHeight="1">
      <c r="A24" s="2" t="inlineStr">
        <is>
          <t>Variant Driver</t>
        </is>
      </c>
      <c r="B24" s="2" t="inlineStr">
        <is>
          <t>Defines a named variant of a base dish. Removable, but changes name.</t>
        </is>
      </c>
      <c r="C24" s="2" t="inlineStr">
        <is>
          <t>[REDACTED]</t>
        </is>
      </c>
      <c r="D24" s="2" t="n"/>
    </row>
    <row r="25" ht="30" customHeight="1">
      <c r="A25" s="2" t="inlineStr">
        <is>
          <t>Base/Carrier</t>
        </is>
      </c>
      <c r="B25" s="2" t="inlineStr">
        <is>
          <t>The structural platform for dishes. Not called out, but needed.</t>
        </is>
      </c>
      <c r="C25" s="2" t="inlineStr">
        <is>
          <t>[REDACTED]</t>
        </is>
      </c>
      <c r="D25" s="2" t="n"/>
    </row>
    <row r="26" ht="30" customHeight="1">
      <c r="A26" s="2" t="inlineStr">
        <is>
          <t>Support Component</t>
        </is>
      </c>
      <c r="B26" s="2" t="inlineStr">
        <is>
          <t>Adds flavor, texture, or value. Swappable or optional.</t>
        </is>
      </c>
      <c r="C26" s="2" t="inlineStr">
        <is>
          <t>[REDACTED]</t>
        </is>
      </c>
      <c r="D26" s="2" t="n"/>
    </row>
    <row r="27" ht="30" customHeight="1">
      <c r="A27" s="2" t="inlineStr">
        <is>
          <t>Condiment/Spread</t>
        </is>
      </c>
      <c r="B27" s="2" t="inlineStr">
        <is>
          <t>Dips, drizzles, and spreads used on the side or top. Often optional.</t>
        </is>
      </c>
      <c r="C27" s="2" t="inlineStr">
        <is>
          <t>[REDACTED]</t>
        </is>
      </c>
      <c r="D27" s="2" t="n"/>
    </row>
    <row r="28">
      <c r="A28" s="2" t="n"/>
      <c r="B28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Item</t>
        </is>
      </c>
    </row>
    <row r="2">
      <c r="A2" t="n">
        <v>1</v>
      </c>
      <c r="B2" t="inlineStr">
        <is>
          <t>ING-044</t>
        </is>
      </c>
    </row>
    <row r="3">
      <c r="A3" t="n">
        <v>1</v>
      </c>
      <c r="B3" t="inlineStr">
        <is>
          <t>ING-113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Company_X</dc:creator>
  <dcterms:created xmlns:dcterms="http://purl.org/dc/terms/" xmlns:xsi="http://www.w3.org/2001/XMLSchema-instance" xsi:type="dcterms:W3CDTF">2025-07-03T11:25:12Z</dcterms:created>
  <dcterms:modified xmlns:dcterms="http://purl.org/dc/terms/" xmlns:xsi="http://www.w3.org/2001/XMLSchema-instance" xsi:type="dcterms:W3CDTF">2026-09-28T04:38:14Z</dcterms:modified>
  <cp:lastModifiedBy>Company_X</cp:lastModifiedBy>
  <cp:lastPrinted>2026-09-27T22:41:52Z</cp:lastPrinted>
</cp:coreProperties>
</file>